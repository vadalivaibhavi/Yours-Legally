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groverkds/Downloads/"/>
    </mc:Choice>
  </mc:AlternateContent>
  <xr:revisionPtr revIDLastSave="0" documentId="8_{73D85F74-941F-7948-B26E-28C3894F37D9}" xr6:coauthVersionLast="47" xr6:coauthVersionMax="47" xr10:uidLastSave="{00000000-0000-0000-0000-000000000000}"/>
  <bookViews>
    <workbookView xWindow="0" yWindow="600" windowWidth="38400" windowHeight="19200" xr2:uid="{758D747A-4CFF-FB4E-A16D-81C68BF3277D}"/>
  </bookViews>
  <sheets>
    <sheet name="AtliQ Analyzer" sheetId="4" r:id="rId1"/>
  </sheet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<sst xmlns="http://schemas.openxmlformats.org/spreadsheetml/2006/main" count="85" uniqueCount="46">
  <si>
    <t>Task</t>
  </si>
  <si>
    <t>Description</t>
  </si>
  <si>
    <t>Data Feasibility</t>
  </si>
  <si>
    <t>Implementation Feasibility</t>
  </si>
  <si>
    <t>Feasibility</t>
  </si>
  <si>
    <t>Impact</t>
  </si>
  <si>
    <t>Total Score</t>
  </si>
  <si>
    <t>Quadrant midpoint (input)</t>
  </si>
  <si>
    <t>JD Creation Automation</t>
  </si>
  <si>
    <t>Creation or modification of JD using existing JDs and job information / requisition form</t>
  </si>
  <si>
    <t>Vert X</t>
  </si>
  <si>
    <t>Vert Y</t>
  </si>
  <si>
    <t>Horiz X</t>
  </si>
  <si>
    <t>Horiz Y</t>
  </si>
  <si>
    <t>Posting  Automation</t>
  </si>
  <si>
    <t>Post job on multiple platforms after taking in JD and customizing the job templates</t>
  </si>
  <si>
    <t>Outreach Automation</t>
  </si>
  <si>
    <t>AI Agent that can automate candidate outreach on LinkedIn for a given job posting</t>
  </si>
  <si>
    <t>Resume Screening</t>
  </si>
  <si>
    <t>Match Resume with JD</t>
  </si>
  <si>
    <t>Candidate Ranking</t>
  </si>
  <si>
    <t>Rank Different Candidates on the basis of Data</t>
  </si>
  <si>
    <t>Helper data for chart quadrant lines</t>
  </si>
  <si>
    <t>Candidate Interview Automation</t>
  </si>
  <si>
    <t>Interview candidates using AI Agents</t>
  </si>
  <si>
    <t>Interview Scheduling Automation</t>
  </si>
  <si>
    <t>Schedule Interviews with candidates and interviewers automatically</t>
  </si>
  <si>
    <t>Quadrant label anchors</t>
  </si>
  <si>
    <t>Quick Wins</t>
  </si>
  <si>
    <t>Big Bets</t>
  </si>
  <si>
    <t>Fill-Ins</t>
  </si>
  <si>
    <t>Deprioritize</t>
  </si>
  <si>
    <t>AI Spend Analysis</t>
  </si>
  <si>
    <t xml:space="preserve">An AI System that could absorb the utilization report and spend analysis to recommend what are the alternatives available within trinsic ecosystem, and how things would change for the client. </t>
  </si>
  <si>
    <t>An AI agent that could go into client's  AWS, GCP or Azure panels, and create a report of what's being utilized, subscriptions, cost per service, etc. This would also generate a report of what AWS components are being used</t>
  </si>
  <si>
    <t>Customer Chatbot</t>
  </si>
  <si>
    <t xml:space="preserve">An AI Assistant that could help customers solve their basic queries and troubleshooting for most of the operations they have. This could help reduce some time for support team. </t>
  </si>
  <si>
    <t>Support Assistant for Support team</t>
  </si>
  <si>
    <t>Support team gets a lot of tickets every single day, and these tickets need to be researched upon, and once the research is done internally, they will compile an answer for the support. This system would research and prepare a solution for the support team, which they can customize and help customer with.</t>
  </si>
  <si>
    <t>Adoption Feasibility</t>
  </si>
  <si>
    <t>Trinsic Benefit Analyzer</t>
  </si>
  <si>
    <t>Contract-Vendor matcher</t>
  </si>
  <si>
    <t>Trinsic has some vendors in their company, who can sell services to trinsic's clients if there's a relevant match in need</t>
  </si>
  <si>
    <t>Trinsic AI</t>
  </si>
  <si>
    <t>Creating an AI that could do everything that a user wants to do, or somebody wants to take care of, and very high level. Nobody needs to do anything manually anymore</t>
  </si>
  <si>
    <t>Chart series names (linked to column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</si>
</sst>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family val="2"/>
      <scheme val="minor"/>
    </font>
    <font>
      <sz val="12"/>
      <color rgb="FF0000FF"/>
      <name val="Aptos Narrow"/>
      <family val="2"/>
      <scheme val="minor"/>
    </font>
    <font>
      <i/>
      <sz val="9"/>
      <color theme="1"/>
      <name val="Aptos Narrow"/>
      <family val="2"/>
      <scheme val="minor"/>
    </font>
  </fonts>
  <fills count="4">
    <fill>
      <patternFill patternType="none"/>
    </fill>
    <fill>
      <patternFill patternType="gray125"/>
    </fill>
    <fill>
      <patternFill patternType="solid">
        <fgColor rgb="FFD9E2D9"/>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10">
    <xf numFmtId="0" fontId="0" fillId="0" borderId="0" xfId="0"/>
    <xf numFmtId="0" fontId="1" fillId="0" borderId="0" xfId="0" applyFont="1"/>
    <xf numFmtId="0" fontId="0" fillId="0" borderId="1" xfId="0" applyBorder="1" applyAlignment="1">
      <alignment horizontal="center"/>
    </xf>
    <xf numFmtId="0" fontId="1" fillId="2" borderId="1" xfId="0" applyFont="1" applyFill="1" applyBorder="1" applyAlignment="1">
      <alignment wrapText="1"/>
    </xf>
    <xf numFmtId="0" fontId="1" fillId="2" borderId="1" xfId="0" applyFont="1" applyFill="1" applyBorder="1" applyAlignment="1">
      <alignment horizontal="center" wrapText="1"/>
    </xf>
    <xf numFmtId="0" fontId="0" fillId="0" borderId="1" xfId="0" applyBorder="1" applyAlignment="1">
      <alignment wrapText="1"/>
    </xf>
    <xf numFmtId="0" fontId="1" fillId="2" borderId="2" xfId="0" applyFont="1" applyFill="1" applyBorder="1" applyAlignment="1">
      <alignment horizontal="center" wrapText="1"/>
    </xf>
    <xf numFmtId="0" fontId="2" fillId="0" borderId="0" xfId="0" applyFont="1"/>
    <xf numFmtId="0" fontId="3" fillId="0" borderId="0" xfId="0" applyFont="1"/>
    <xf numFmtId="0" fontId="2"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595959"/>
                </a:solidFill>
                <a:latin typeface="+mn-lt"/>
                <a:ea typeface="+mn-ea"/>
                <a:cs typeface="+mn-cs"/>
              </a:defRPr>
            </a:pPr>
            <a:r>
              <a:rPr lang="en-US"/>
              <a:t>Feasibility vs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95959"/>
              </a:solidFill>
              <a:latin typeface="+mn-lt"/>
              <a:ea typeface="+mn-ea"/>
              <a:cs typeface="+mn-cs"/>
            </a:defRPr>
          </a:pPr>
          <a:endParaRPr lang="en-US"/>
        </a:p>
      </c:txPr>
    </c:title>
    <c:autoTitleDeleted val="0"/>
    <c:plotArea>
      <c:layout/>
      <c:scatterChart>
        <c:scatterStyle val="lineMarker"/>
        <c:varyColors val="0"/>
        <c:ser>
          <c:idx val="0"/>
          <c:order val="0"/>
          <c:tx>
            <c:strRef>
              <c:f>'AtliQ Analyzer'!$K$16</c:f>
            </c:strRef>
          </c:tx>
          <c:spPr>
            <a:ln w="25400" cap="rnd">
              <a:noFill/>
              <a:round/>
            </a:ln>
            <a:effectLst/>
          </c:spPr>
          <c:marker>
            <c:symbol val="circle"/>
            <c:size val="10"/>
            <c:spPr>
              <a:solidFill>
                <a:srgbClr val="156082"/>
              </a:solidFill>
              <a:ln w="9525">
                <a:solidFill>
                  <a:srgbClr val="156082"/>
                </a:solidFill>
                <a:prstDash val="solid"/>
              </a:ln>
              <a:effectLst/>
            </c:spPr>
          </c:marker>
          <c:dLbls>
            <c:spPr>
              <a:noFill/>
              <a:ln>
                <a:noFill/>
              </a:ln>
            </c:spPr>
            <c:txPr>
              <a:bodyPr/>
              <a:lstStyle/>
              <a:p>
                <a:pPr>
                  <a:defRPr sz="800" b="0"/>
                </a:pPr>
                <a:endParaRPr lang="en-US"/>
              </a:p>
            </c:txPr>
            <c:dLblPos val="r"/>
            <c:showLegendKey val="0"/>
            <c:showVal val="0"/>
            <c:showCatName val="0"/>
            <c:showSerName val="1"/>
            <c:showPercent val="0"/>
            <c:showBubbleSize val="0"/>
          </c:dLbls>
          <c:xVal>
            <c:numRef>
              <c:f>'AtliQ Analyzer'!$F$2</c:f>
            </c:numRef>
          </c:xVal>
          <c:yVal>
            <c:numRef>
              <c:f>'AtliQ Analyzer'!$G$2</c:f>
            </c:numRef>
          </c:yVal>
          <c:smooth val="0"/>
          <c:extLst>
            <c:ext xmlns:c16="http://schemas.microsoft.com/office/drawing/2014/chart" uri="{C3380CC4-5D6E-409C-BE32-E72D297353CC}">
              <c16:uniqueId val="{00000000-3CB1-7146-A272-36FB2ED4ADBC}"/>
            </c:ext>
          </c:extLst>
        </c:ser>
        <c:ser>
          <c:idx val="1"/>
          <c:order val="1"/>
          <c:tx>
            <c:strRef>
              <c:f>'AtliQ Analyzer'!$L$16</c:f>
            </c:strRef>
          </c:tx>
          <c:spPr>
            <a:ln w="25400" cap="rnd">
              <a:noFill/>
              <a:round/>
            </a:ln>
            <a:effectLst/>
          </c:spPr>
          <c:marker>
            <c:symbol val="circle"/>
            <c:size val="10"/>
            <c:spPr>
              <a:solidFill>
                <a:srgbClr val="E97132"/>
              </a:solidFill>
              <a:ln w="9525">
                <a:solidFill>
                  <a:srgbClr val="E97132"/>
                </a:solidFill>
                <a:prstDash val="solid"/>
              </a:ln>
              <a:effectLst/>
            </c:spPr>
          </c:marker>
          <c:dLbls>
            <c:spPr>
              <a:noFill/>
              <a:ln>
                <a:noFill/>
              </a:ln>
            </c:spPr>
            <c:txPr>
              <a:bodyPr/>
              <a:lstStyle/>
              <a:p>
                <a:pPr>
                  <a:defRPr sz="800" b="0"/>
                </a:pPr>
                <a:endParaRPr lang="en-US"/>
              </a:p>
            </c:txPr>
            <c:dLblPos val="r"/>
            <c:showLegendKey val="0"/>
            <c:showVal val="0"/>
            <c:showCatName val="0"/>
            <c:showSerName val="1"/>
            <c:showPercent val="0"/>
            <c:showBubbleSize val="0"/>
          </c:dLbls>
          <c:xVal>
            <c:numRef>
              <c:f>'AtliQ Analyzer'!$F$3</c:f>
            </c:numRef>
          </c:xVal>
          <c:yVal>
            <c:numRef>
              <c:f>'AtliQ Analyzer'!$G$3</c:f>
            </c:numRef>
          </c:yVal>
          <c:smooth val="0"/>
          <c:extLst>
            <c:ext xmlns:c16="http://schemas.microsoft.com/office/drawing/2014/chart" uri="{C3380CC4-5D6E-409C-BE32-E72D297353CC}">
              <c16:uniqueId val="{00000001-3CB1-7146-A272-36FB2ED4ADBC}"/>
            </c:ext>
          </c:extLst>
        </c:ser>
        <c:ser>
          <c:idx val="2"/>
          <c:order val="2"/>
          <c:tx>
            <c:strRef>
              <c:f>'AtliQ Analyzer'!$M$16</c:f>
            </c:strRef>
          </c:tx>
          <c:spPr>
            <a:ln w="25400" cap="rnd">
              <a:noFill/>
              <a:round/>
            </a:ln>
            <a:effectLst/>
          </c:spPr>
          <c:marker>
            <c:symbol val="circle"/>
            <c:size val="10"/>
            <c:spPr>
              <a:solidFill>
                <a:srgbClr val="196B24"/>
              </a:solidFill>
              <a:ln w="9525">
                <a:solidFill>
                  <a:srgbClr val="196B24"/>
                </a:solidFill>
                <a:prstDash val="solid"/>
              </a:ln>
              <a:effectLst/>
            </c:spPr>
          </c:marker>
          <c:dLbls>
            <c:spPr>
              <a:noFill/>
              <a:ln>
                <a:noFill/>
              </a:ln>
            </c:spPr>
            <c:txPr>
              <a:bodyPr/>
              <a:lstStyle/>
              <a:p>
                <a:pPr>
                  <a:defRPr sz="800" b="0"/>
                </a:pPr>
                <a:endParaRPr lang="en-US"/>
              </a:p>
            </c:txPr>
            <c:dLblPos val="r"/>
            <c:showLegendKey val="0"/>
            <c:showVal val="0"/>
            <c:showCatName val="0"/>
            <c:showSerName val="1"/>
            <c:showPercent val="0"/>
            <c:showBubbleSize val="0"/>
          </c:dLbls>
          <c:xVal>
            <c:numRef>
              <c:f>'AtliQ Analyzer'!$F$4</c:f>
            </c:numRef>
          </c:xVal>
          <c:yVal>
            <c:numRef>
              <c:f>'AtliQ Analyzer'!$G$4</c:f>
            </c:numRef>
          </c:yVal>
          <c:smooth val="0"/>
          <c:extLst>
            <c:ext xmlns:c16="http://schemas.microsoft.com/office/drawing/2014/chart" uri="{C3380CC4-5D6E-409C-BE32-E72D297353CC}">
              <c16:uniqueId val="{00000002-3CB1-7146-A272-36FB2ED4ADBC}"/>
            </c:ext>
          </c:extLst>
        </c:ser>
        <c:ser>
          <c:idx val="3"/>
          <c:order val="3"/>
          <c:tx>
            <c:strRef>
              <c:f>'AtliQ Analyzer'!$N$16</c:f>
            </c:strRef>
          </c:tx>
          <c:spPr>
            <a:ln w="25400" cap="rnd">
              <a:noFill/>
              <a:round/>
            </a:ln>
            <a:effectLst/>
          </c:spPr>
          <c:marker>
            <c:symbol val="circle"/>
            <c:size val="10"/>
            <c:spPr>
              <a:solidFill>
                <a:srgbClr val="0F9ED5"/>
              </a:solidFill>
              <a:ln w="9525">
                <a:solidFill>
                  <a:srgbClr val="0F9ED5"/>
                </a:solidFill>
                <a:prstDash val="solid"/>
              </a:ln>
              <a:effectLst/>
            </c:spPr>
          </c:marker>
          <c:dLbls>
            <c:spPr>
              <a:noFill/>
              <a:ln>
                <a:noFill/>
              </a:ln>
            </c:spPr>
            <c:txPr>
              <a:bodyPr/>
              <a:lstStyle/>
              <a:p>
                <a:pPr>
                  <a:defRPr sz="800" b="0"/>
                </a:pPr>
                <a:endParaRPr lang="en-US"/>
              </a:p>
            </c:txPr>
            <c:dLblPos val="r"/>
            <c:showLegendKey val="0"/>
            <c:showVal val="0"/>
            <c:showCatName val="0"/>
            <c:showSerName val="1"/>
            <c:showPercent val="0"/>
            <c:showBubbleSize val="0"/>
          </c:dLbls>
          <c:xVal>
            <c:numRef>
              <c:f>'AtliQ Analyzer'!$F$5</c:f>
            </c:numRef>
          </c:xVal>
          <c:yVal>
            <c:numRef>
              <c:f>'AtliQ Analyzer'!$G$5</c:f>
            </c:numRef>
          </c:yVal>
          <c:smooth val="0"/>
          <c:extLst>
            <c:ext xmlns:c16="http://schemas.microsoft.com/office/drawing/2014/chart" uri="{C3380CC4-5D6E-409C-BE32-E72D297353CC}">
              <c16:uniqueId val="{00000003-3CB1-7146-A272-36FB2ED4ADBC}"/>
            </c:ext>
          </c:extLst>
        </c:ser>
        <c:ser>
          <c:idx val="4"/>
          <c:order val="4"/>
          <c:tx>
            <c:strRef>
              <c:f>'AtliQ Analyzer'!$O$16</c:f>
            </c:strRef>
          </c:tx>
          <c:spPr>
            <a:ln w="25400" cap="rnd">
              <a:noFill/>
              <a:round/>
            </a:ln>
            <a:effectLst/>
          </c:spPr>
          <c:marker>
            <c:symbol val="circle"/>
            <c:size val="10"/>
            <c:spPr>
              <a:solidFill>
                <a:srgbClr val="A02B93"/>
              </a:solidFill>
              <a:ln w="9525">
                <a:solidFill>
                  <a:srgbClr val="A02B93"/>
                </a:solidFill>
                <a:prstDash val="solid"/>
              </a:ln>
              <a:effectLst/>
            </c:spPr>
          </c:marker>
          <c:dLbls>
            <c:spPr>
              <a:noFill/>
              <a:ln>
                <a:noFill/>
              </a:ln>
            </c:spPr>
            <c:txPr>
              <a:bodyPr/>
              <a:lstStyle/>
              <a:p>
                <a:pPr>
                  <a:defRPr sz="800" b="0"/>
                </a:pPr>
                <a:endParaRPr lang="en-US"/>
              </a:p>
            </c:txPr>
            <c:dLblPos val="r"/>
            <c:showLegendKey val="0"/>
            <c:showVal val="0"/>
            <c:showCatName val="0"/>
            <c:showSerName val="1"/>
            <c:showPercent val="0"/>
            <c:showBubbleSize val="0"/>
          </c:dLbls>
          <c:xVal>
            <c:numRef>
              <c:f>'AtliQ Analyzer'!$F$6</c:f>
            </c:numRef>
          </c:xVal>
          <c:yVal>
            <c:numRef>
              <c:f>'AtliQ Analyzer'!$G$6</c:f>
            </c:numRef>
          </c:yVal>
          <c:smooth val="0"/>
          <c:extLst>
            <c:ext xmlns:c16="http://schemas.microsoft.com/office/drawing/2014/chart" uri="{C3380CC4-5D6E-409C-BE32-E72D297353CC}">
              <c16:uniqueId val="{00000004-3CB1-7146-A272-36FB2ED4ADBC}"/>
            </c:ext>
          </c:extLst>
        </c:ser>
        <c:ser>
          <c:idx val="5"/>
          <c:order val="5"/>
          <c:tx>
            <c:strRef>
              <c:f>'AtliQ Analyzer'!$P$16</c:f>
            </c:strRef>
          </c:tx>
          <c:spPr>
            <a:ln w="25400" cap="rnd">
              <a:noFill/>
              <a:round/>
            </a:ln>
            <a:effectLst/>
          </c:spPr>
          <c:marker>
            <c:symbol val="circle"/>
            <c:size val="10"/>
            <c:spPr>
              <a:solidFill>
                <a:srgbClr val="4EA72E"/>
              </a:solidFill>
              <a:ln w="9525">
                <a:solidFill>
                  <a:srgbClr val="4EA72E"/>
                </a:solidFill>
                <a:prstDash val="solid"/>
              </a:ln>
              <a:effectLst/>
            </c:spPr>
          </c:marker>
          <c:dLbls>
            <c:spPr>
              <a:noFill/>
              <a:ln>
                <a:noFill/>
              </a:ln>
            </c:spPr>
            <c:txPr>
              <a:bodyPr/>
              <a:lstStyle/>
              <a:p>
                <a:pPr>
                  <a:defRPr sz="800" b="0"/>
                </a:pPr>
                <a:endParaRPr lang="en-US"/>
              </a:p>
            </c:txPr>
            <c:dLblPos val="r"/>
            <c:showLegendKey val="0"/>
            <c:showVal val="0"/>
            <c:showCatName val="0"/>
            <c:showSerName val="1"/>
            <c:showPercent val="0"/>
            <c:showBubbleSize val="0"/>
          </c:dLbls>
          <c:xVal>
            <c:numRef>
              <c:f>'AtliQ Analyzer'!$F$7</c:f>
            </c:numRef>
          </c:xVal>
          <c:yVal>
            <c:numRef>
              <c:f>'AtliQ Analyzer'!$G$7</c:f>
            </c:numRef>
          </c:yVal>
          <c:smooth val="0"/>
          <c:extLst>
            <c:ext xmlns:c16="http://schemas.microsoft.com/office/drawing/2014/chart" uri="{C3380CC4-5D6E-409C-BE32-E72D297353CC}">
              <c16:uniqueId val="{00000005-3CB1-7146-A272-36FB2ED4ADBC}"/>
            </c:ext>
          </c:extLst>
        </c:ser>
        <c:ser>
          <c:idx val="6"/>
          <c:order val="6"/>
          <c:tx>
            <c:strRef>
              <c:f>'AtliQ Analyzer'!$Q$16</c:f>
            </c:strRef>
          </c:tx>
          <c:spPr>
            <a:ln w="25400" cap="rnd">
              <a:noFill/>
              <a:round/>
            </a:ln>
            <a:effectLst/>
          </c:spPr>
          <c:marker>
            <c:symbol val="circle"/>
            <c:size val="10"/>
            <c:spPr>
              <a:solidFill>
                <a:srgbClr val="0D3A4E"/>
              </a:solidFill>
              <a:ln w="9525">
                <a:solidFill>
                  <a:srgbClr val="0D3A4E"/>
                </a:solidFill>
                <a:prstDash val="solid"/>
              </a:ln>
              <a:effectLst/>
            </c:spPr>
          </c:marker>
          <c:dLbls>
            <c:spPr>
              <a:noFill/>
              <a:ln>
                <a:noFill/>
              </a:ln>
            </c:spPr>
            <c:txPr>
              <a:bodyPr/>
              <a:lstStyle/>
              <a:p>
                <a:pPr>
                  <a:defRPr sz="800" b="0"/>
                </a:pPr>
                <a:endParaRPr lang="en-US"/>
              </a:p>
            </c:txPr>
            <c:dLblPos val="r"/>
            <c:showLegendKey val="0"/>
            <c:showVal val="0"/>
            <c:showCatName val="0"/>
            <c:showSerName val="1"/>
            <c:showPercent val="0"/>
            <c:showBubbleSize val="0"/>
          </c:dLbls>
          <c:xVal>
            <c:numRef>
              <c:f>'AtliQ Analyzer'!$F$8</c:f>
            </c:numRef>
          </c:xVal>
          <c:yVal>
            <c:numRef>
              <c:f>'AtliQ Analyzer'!$G$8</c:f>
            </c:numRef>
          </c:yVal>
          <c:smooth val="0"/>
          <c:extLst>
            <c:ext xmlns:c16="http://schemas.microsoft.com/office/drawing/2014/chart" uri="{C3380CC4-5D6E-409C-BE32-E72D297353CC}">
              <c16:uniqueId val="{00000006-3CB1-7146-A272-36FB2ED4ADBC}"/>
            </c:ext>
          </c:extLst>
        </c:ser>
        <c:ser>
          <c:idx val="7"/>
          <c:order val="7"/>
          <c:tx>
            <c:strRef>
              <c:f>'AtliQ Analyzer'!$R$16</c:f>
            </c:strRef>
          </c:tx>
          <c:spPr>
            <a:ln w="25400" cap="rnd">
              <a:noFill/>
              <a:round/>
            </a:ln>
            <a:effectLst/>
          </c:spPr>
          <c:marker>
            <c:symbol val="circle"/>
            <c:size val="10"/>
            <c:spPr>
              <a:solidFill>
                <a:srgbClr val="ED8D5B"/>
              </a:solidFill>
              <a:ln w="9525">
                <a:solidFill>
                  <a:srgbClr val="ED8D5B"/>
                </a:solidFill>
                <a:prstDash val="solid"/>
              </a:ln>
              <a:effectLst/>
            </c:spPr>
          </c:marker>
          <c:dLbls>
            <c:spPr>
              <a:noFill/>
              <a:ln>
                <a:noFill/>
              </a:ln>
            </c:spPr>
            <c:txPr>
              <a:bodyPr/>
              <a:lstStyle/>
              <a:p>
                <a:pPr>
                  <a:defRPr sz="800" b="0"/>
                </a:pPr>
                <a:endParaRPr lang="en-US"/>
              </a:p>
            </c:txPr>
            <c:dLblPos val="r"/>
            <c:showLegendKey val="0"/>
            <c:showVal val="0"/>
            <c:showCatName val="0"/>
            <c:showSerName val="1"/>
            <c:showPercent val="0"/>
            <c:showBubbleSize val="0"/>
          </c:dLbls>
          <c:xVal>
            <c:numRef>
              <c:f>'AtliQ Analyzer'!$F$9</c:f>
            </c:numRef>
          </c:xVal>
          <c:yVal>
            <c:numRef>
              <c:f>'AtliQ Analyzer'!$G$9</c:f>
            </c:numRef>
          </c:yVal>
          <c:smooth val="0"/>
          <c:extLst>
            <c:ext xmlns:c16="http://schemas.microsoft.com/office/drawing/2014/chart" uri="{C3380CC4-5D6E-409C-BE32-E72D297353CC}">
              <c16:uniqueId val="{00000007-3CB1-7146-A272-36FB2ED4ADBC}"/>
            </c:ext>
          </c:extLst>
        </c:ser>
        <c:ser>
          <c:idx val="14"/>
          <c:order val="14"/>
          <c:tx>
            <c:strRef>
              <c:f>'AtliQ Analyzer'!$S$16</c:f>
            </c:strRef>
          </c:tx>
          <c:spPr>
            <a:ln w="25400" cap="rnd">
              <a:noFill/>
              <a:round/>
            </a:ln>
            <a:effectLst/>
          </c:spPr>
          <c:marker>
            <c:symbol val="circle"/>
            <c:size val="10"/>
            <c:spPr>
              <a:solidFill>
                <a:srgbClr val="7F7F7F"/>
              </a:solidFill>
              <a:ln w="9525">
                <a:solidFill>
                  <a:srgbClr val="7F7F7F"/>
                </a:solidFill>
                <a:prstDash val="solid"/>
              </a:ln>
              <a:effectLst/>
            </c:spPr>
          </c:marker>
          <c:dLbls>
            <c:spPr>
              <a:noFill/>
              <a:ln>
                <a:noFill/>
              </a:ln>
            </c:spPr>
            <c:txPr>
              <a:bodyPr/>
              <a:lstStyle/>
              <a:p>
                <a:pPr>
                  <a:defRPr sz="800" b="0"/>
                </a:pPr>
                <a:endParaRPr lang="en-US"/>
              </a:p>
            </c:txPr>
            <c:dLblPos val="r"/>
            <c:showLegendKey val="0"/>
            <c:showVal val="0"/>
            <c:showCatName val="0"/>
            <c:showSerName val="1"/>
            <c:showPercent val="0"/>
            <c:showBubbleSize val="0"/>
          </c:dLbls>
          <c:xVal>
            <c:numRef>
              <c:f>'AtliQ Analyzer'!$F$10</c:f>
            </c:numRef>
          </c:xVal>
          <c:yVal>
            <c:numRef>
              <c:f>'AtliQ Analyzer'!$G$10</c:f>
            </c:numRef>
          </c:yVal>
          <c:smooth val="0"/>
        </c:ser>
        <c:ser>
          <c:idx val="15"/>
          <c:order val="15"/>
          <c:tx>
            <c:strRef>
              <c:f>'AtliQ Analyzer'!$T$16</c:f>
            </c:strRef>
          </c:tx>
          <c:spPr>
            <a:ln w="25400" cap="rnd">
              <a:noFill/>
              <a:round/>
            </a:ln>
            <a:effectLst/>
          </c:spPr>
          <c:marker>
            <c:symbol val="circle"/>
            <c:size val="10"/>
            <c:spPr>
              <a:solidFill>
                <a:srgbClr val="8E44AD"/>
              </a:solidFill>
              <a:ln w="9525">
                <a:solidFill>
                  <a:srgbClr val="8E44AD"/>
                </a:solidFill>
                <a:prstDash val="solid"/>
              </a:ln>
              <a:effectLst/>
            </c:spPr>
          </c:marker>
          <c:dLbls>
            <c:spPr>
              <a:noFill/>
              <a:ln>
                <a:noFill/>
              </a:ln>
            </c:spPr>
            <c:txPr>
              <a:bodyPr/>
              <a:lstStyle/>
              <a:p>
                <a:pPr>
                  <a:defRPr sz="800" b="0"/>
                </a:pPr>
                <a:endParaRPr lang="en-US"/>
              </a:p>
            </c:txPr>
            <c:dLblPos val="r"/>
            <c:showLegendKey val="0"/>
            <c:showVal val="0"/>
            <c:showCatName val="0"/>
            <c:showSerName val="1"/>
            <c:showPercent val="0"/>
            <c:showBubbleSize val="0"/>
          </c:dLbls>
          <c:xVal>
            <c:numRef>
              <c:f>'AtliQ Analyzer'!$F$11</c:f>
            </c:numRef>
          </c:xVal>
          <c:yVal>
            <c:numRef>
              <c:f>'AtliQ Analyzer'!$G$11</c:f>
            </c:numRef>
          </c:yVal>
          <c:smooth val="0"/>
        </c:ser>
        <c:ser>
          <c:idx val="16"/>
          <c:order val="16"/>
          <c:tx>
            <c:strRef>
              <c:f>'AtliQ Analyzer'!$U$16</c:f>
            </c:strRef>
          </c:tx>
          <c:spPr>
            <a:ln w="25400" cap="rnd">
              <a:noFill/>
              <a:round/>
            </a:ln>
            <a:effectLst/>
          </c:spPr>
          <c:marker>
            <c:symbol val="circle"/>
            <c:size val="10"/>
            <c:spPr>
              <a:solidFill>
                <a:srgbClr val="1ABC9C"/>
              </a:solidFill>
              <a:ln w="9525">
                <a:solidFill>
                  <a:srgbClr val="1ABC9C"/>
                </a:solidFill>
                <a:prstDash val="solid"/>
              </a:ln>
              <a:effectLst/>
            </c:spPr>
          </c:marker>
          <c:dLbls>
            <c:spPr>
              <a:noFill/>
              <a:ln>
                <a:noFill/>
              </a:ln>
            </c:spPr>
            <c:txPr>
              <a:bodyPr/>
              <a:lstStyle/>
              <a:p>
                <a:pPr>
                  <a:defRPr sz="800" b="0"/>
                </a:pPr>
                <a:endParaRPr lang="en-US"/>
              </a:p>
            </c:txPr>
            <c:dLblPos val="r"/>
            <c:showLegendKey val="0"/>
            <c:showVal val="0"/>
            <c:showCatName val="0"/>
            <c:showSerName val="1"/>
            <c:showPercent val="0"/>
            <c:showBubbleSize val="0"/>
          </c:dLbls>
          <c:xVal>
            <c:numRef>
              <c:f>'AtliQ Analyzer'!$F$12</c:f>
            </c:numRef>
          </c:xVal>
          <c:yVal>
            <c:numRef>
              <c:f>'AtliQ Analyzer'!$G$12</c:f>
            </c:numRef>
          </c:yVal>
          <c:smooth val="0"/>
        </c:ser>
        <c:ser>
          <c:idx val="17"/>
          <c:order val="17"/>
          <c:tx>
            <c:strRef>
              <c:f>'AtliQ Analyzer'!$V$16</c:f>
            </c:strRef>
          </c:tx>
          <c:spPr>
            <a:ln w="25400" cap="rnd">
              <a:noFill/>
              <a:round/>
            </a:ln>
            <a:effectLst/>
          </c:spPr>
          <c:marker>
            <c:symbol val="circle"/>
            <c:size val="10"/>
            <c:spPr>
              <a:solidFill>
                <a:srgbClr val="C0392B"/>
              </a:solidFill>
              <a:ln w="9525">
                <a:solidFill>
                  <a:srgbClr val="C0392B"/>
                </a:solidFill>
                <a:prstDash val="solid"/>
              </a:ln>
              <a:effectLst/>
            </c:spPr>
          </c:marker>
          <c:dLbls>
            <c:spPr>
              <a:noFill/>
              <a:ln>
                <a:noFill/>
              </a:ln>
            </c:spPr>
            <c:txPr>
              <a:bodyPr/>
              <a:lstStyle/>
              <a:p>
                <a:pPr>
                  <a:defRPr sz="800" b="0"/>
                </a:pPr>
                <a:endParaRPr lang="en-US"/>
              </a:p>
            </c:txPr>
            <c:dLblPos val="r"/>
            <c:showLegendKey val="0"/>
            <c:showVal val="0"/>
            <c:showCatName val="0"/>
            <c:showSerName val="1"/>
            <c:showPercent val="0"/>
            <c:showBubbleSize val="0"/>
          </c:dLbls>
          <c:xVal>
            <c:numRef>
              <c:f>'AtliQ Analyzer'!$F$13</c:f>
            </c:numRef>
          </c:xVal>
          <c:yVal>
            <c:numRef>
              <c:f>'AtliQ Analyzer'!$G$13</c:f>
            </c:numRef>
          </c:yVal>
          <c:smooth val="0"/>
        </c:ser>
        <c:ser>
          <c:idx val="8"/>
          <c:order val="8"/>
          <c:tx>
            <c:v>Feasibility threshold</c:v>
          </c:tx>
          <c:spPr>
            <a:ln w="19050" cap="rnd">
              <a:solidFill>
                <a:srgbClr val="BFBFBF"/>
              </a:solidFill>
              <a:prstDash val="solid"/>
              <a:round/>
            </a:ln>
            <a:effectLst/>
          </c:spPr>
          <c:marker>
            <c:symbol val="none"/>
          </c:marker>
          <c:xVal>
            <c:numRef>
              <c:f>'AtliQ Analyzer'!$J$3:$J$4</c:f>
            </c:numRef>
          </c:xVal>
          <c:yVal>
            <c:numRef>
              <c:f>'AtliQ Analyzer'!$K$3:$K$4</c:f>
            </c:numRef>
          </c:yVal>
          <c:smooth val="0"/>
          <c:extLst>
            <c:ext xmlns:c16="http://schemas.microsoft.com/office/drawing/2014/chart" uri="{C3380CC4-5D6E-409C-BE32-E72D297353CC}">
              <c16:uniqueId val="{00000008-3CB1-7146-A272-36FB2ED4ADBC}"/>
            </c:ext>
          </c:extLst>
        </c:ser>
        <c:ser>
          <c:idx val="9"/>
          <c:order val="9"/>
          <c:tx>
            <c:v>Impact threshold</c:v>
          </c:tx>
          <c:spPr>
            <a:ln w="19050" cap="rnd">
              <a:solidFill>
                <a:srgbClr val="BFBFBF"/>
              </a:solidFill>
              <a:prstDash val="solid"/>
              <a:round/>
            </a:ln>
            <a:effectLst/>
          </c:spPr>
          <c:marker>
            <c:symbol val="none"/>
          </c:marker>
          <c:xVal>
            <c:numRef>
              <c:f>'AtliQ Analyzer'!$L$3:$L$4</c:f>
            </c:numRef>
          </c:xVal>
          <c:yVal>
            <c:numRef>
              <c:f>'AtliQ Analyzer'!$M$3:$M$4</c:f>
            </c:numRef>
          </c:yVal>
          <c:smooth val="0"/>
          <c:extLst>
            <c:ext xmlns:c16="http://schemas.microsoft.com/office/drawing/2014/chart" uri="{C3380CC4-5D6E-409C-BE32-E72D297353CC}">
              <c16:uniqueId val="{00000009-3CB1-7146-A272-36FB2ED4ADBC}"/>
            </c:ext>
          </c:extLst>
        </c:ser>
        <c:ser>
          <c:idx val="10"/>
          <c:order val="10"/>
          <c:tx>
            <c:v>Quick Wins</c:v>
          </c:tx>
          <c:spPr>
            <a:ln w="2540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808080"/>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'AtliQ Analyzer'!$K$10</c:f>
            </c:numRef>
          </c:xVal>
          <c:yVal>
            <c:numRef>
              <c:f>'AtliQ Analyzer'!$L$10</c:f>
            </c:numRef>
          </c:yVal>
          <c:smooth val="0"/>
          <c:extLst>
            <c:ext xmlns:c16="http://schemas.microsoft.com/office/drawing/2014/chart" uri="{C3380CC4-5D6E-409C-BE32-E72D297353CC}">
              <c16:uniqueId val="{0000000A-3CB1-7146-A272-36FB2ED4ADBC}"/>
            </c:ext>
          </c:extLst>
        </c:ser>
        <c:ser>
          <c:idx val="11"/>
          <c:order val="11"/>
          <c:tx>
            <c:v>Big Bets</c:v>
          </c:tx>
          <c:spPr>
            <a:ln w="2540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808080"/>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'AtliQ Analyzer'!$K$11</c:f>
            </c:numRef>
          </c:xVal>
          <c:yVal>
            <c:numRef>
              <c:f>'AtliQ Analyzer'!$L$11</c:f>
            </c:numRef>
          </c:yVal>
          <c:smooth val="0"/>
          <c:extLst>
            <c:ext xmlns:c16="http://schemas.microsoft.com/office/drawing/2014/chart" uri="{C3380CC4-5D6E-409C-BE32-E72D297353CC}">
              <c16:uniqueId val="{0000000B-3CB1-7146-A272-36FB2ED4ADBC}"/>
            </c:ext>
          </c:extLst>
        </c:ser>
        <c:ser>
          <c:idx val="12"/>
          <c:order val="12"/>
          <c:tx>
            <c:v>Fill-Ins</c:v>
          </c:tx>
          <c:spPr>
            <a:ln w="2540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808080"/>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'AtliQ Analyzer'!$K$12</c:f>
            </c:numRef>
          </c:xVal>
          <c:yVal>
            <c:numRef>
              <c:f>'AtliQ Analyzer'!$L$12</c:f>
            </c:numRef>
          </c:yVal>
          <c:smooth val="0"/>
          <c:extLst>
            <c:ext xmlns:c16="http://schemas.microsoft.com/office/drawing/2014/chart" uri="{C3380CC4-5D6E-409C-BE32-E72D297353CC}">
              <c16:uniqueId val="{0000000C-3CB1-7146-A272-36FB2ED4ADBC}"/>
            </c:ext>
          </c:extLst>
        </c:ser>
        <c:ser>
          <c:idx val="13"/>
          <c:order val="13"/>
          <c:tx>
            <c:v>Deprioritize</c:v>
          </c:tx>
          <c:spPr>
            <a:ln w="2540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808080"/>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'AtliQ Analyzer'!$K$13</c:f>
            </c:numRef>
          </c:xVal>
          <c:yVal>
            <c:numRef>
              <c:f>'AtliQ Analyzer'!$L$13</c:f>
            </c:numRef>
          </c:yVal>
          <c:smooth val="0"/>
          <c:extLst>
            <c:ext xmlns:c16="http://schemas.microsoft.com/office/drawing/2014/chart" uri="{C3380CC4-5D6E-409C-BE32-E72D297353CC}">
              <c16:uniqueId val="{0000000D-3CB1-7146-A272-36FB2ED4ADBC}"/>
            </c:ext>
          </c:extLst>
        </c:ser>
        <c:dLbls>
          <c:showLegendKey val="0"/>
          <c:showVal val="0"/>
          <c:showCatName val="0"/>
          <c:showSerName val="0"/>
          <c:showPercent val="0"/>
          <c:showBubbleSize val="0"/>
        </c:dLbls>
        <c:axId val="1864448000"/>
        <c:axId val="1861974912"/>
      </c:scatterChart>
      <c:valAx>
        <c:axId val="1864448000"/>
        <c:scaling>
          <c:orientation val="minMax"/>
          <c:max val="1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Feasibility (avg of Data, Implementation &amp; Adoption)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595959"/>
                </a:solidFill>
                <a:latin typeface="+mn-lt"/>
                <a:ea typeface="+mn-ea"/>
                <a:cs typeface="+mn-cs"/>
              </a:defRPr>
            </a:pPr>
            <a:endParaRPr lang="en-US"/>
          </a:p>
        </c:txPr>
        <c:crossAx val="1861974912"/>
        <c:crosses val="autoZero"/>
        <c:crossBetween val="midCat"/>
        <c:majorUnit val="2"/>
      </c:valAx>
      <c:valAx>
        <c:axId val="1861974912"/>
        <c:scaling>
          <c:orientation val="minMax"/>
          <c:max val="1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Impact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595959"/>
                </a:solidFill>
                <a:latin typeface="+mn-lt"/>
                <a:ea typeface="+mn-ea"/>
                <a:cs typeface="+mn-cs"/>
              </a:defRPr>
            </a:pPr>
            <a:endParaRPr lang="en-US"/>
          </a:p>
        </c:txPr>
        <c:crossAx val="1864448000"/>
        <c:crosses val="autoZero"/>
        <c:crossBetween val="midCat"/>
        <c:majorUnit val="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595959"/>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0</xdr:rowOff>
    </xdr:from>
    <xdr:to>
      <xdr:col>8</xdr:col>
      <xdr:colOff>0</xdr:colOff>
      <xdr:row>41</xdr:row>
      <xdr:rowOff>0</xdr:rowOff>
    </xdr:to>
    <xdr:graphicFrame macro="">
      <xdr:nvGraphicFramePr>
        <xdr:cNvPr id="3" name="NEWCHART">
          <a:extLst>
            <a:ext uri="{FF2B5EF4-FFF2-40B4-BE49-F238E27FC236}">
              <a16:creationId xmlns:a16="http://schemas.microsoft.com/office/drawing/2014/main" id="{545DDF84-31A4-CD4A-B874-A506E6C8F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4127C41-5458-EB4F-851F-9506D9D4A565}">
  <we:reference id="29673e3c-d826-4f00-92ee-162334a52b1a" version="1.0.0.8" store="EXCatalog" storeType="EXCatalog"/>
  <we:alternateReferences>
    <we:reference id="WA200009404" version="1.0.0.8" store="en-US" storeType="OMEX"/>
  </we:alternateReferences>
  <we:properties>
    <we:property name="claude.fileId" value="&quot;ff6ea23f-9eba-4a83-ad4c-cb3b1c66807e&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4520EAAB-70A8-49B0-A86F-96AE70D754AC}">
  <we:reference id="11d7cf85-ae5a-43b8-bc58-1e1a151cce24" version="1.0.0.1" store="excatalog" storeType="excatalog"/>
  <we:alternateReferences>
    <we:reference id="WA200010725" version="1.0.0.1" store="en-us" storeType="omex"/>
  </we:alternateReferences>
  <we:properties>
    <we:property name="claude.fileId" value="&quot;5810e97c-9b57-4162-9b9c-8ed0383c96be&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20C53-BD62-1E44-B381-41F92AB6D93F}">
  <sheetPr>
    <pageSetUpPr fitToPage="1"/>
  </sheetPr>
  <dimension ref="A1:V62"/>
  <sheetViews>
    <sheetView tabSelected="1" zoomScale="138" zoomScaleNormal="100" workbookViewId="0">
      <pane ySplit="1" topLeftCell="A2" activePane="bottomLeft" state="frozen"/>
      <selection pane="bottomLeft" activeCell="A2" sqref="A2"/>
    </sheetView>
  </sheetViews>
  <sheetFormatPr baseColWidth="10" defaultColWidth="11" defaultRowHeight="16" x14ac:dyDescent="0.2"/>
  <cols>
    <col min="1" max="1" width="24.33203125" customWidth="1"/>
    <col min="2" max="2" width="39.83203125" customWidth="1"/>
    <col min="3" max="6" width="16.6640625" customWidth="1"/>
    <col min="7" max="7" width="8.1640625" customWidth="1"/>
    <col min="8" max="8" width="16.6640625" customWidth="1"/>
  </cols>
  <sheetData>
    <row r="1" spans="1:18" ht="51" x14ac:dyDescent="0.2">
      <c r="A1" s="3" t="s">
        <v>0</v>
      </c>
      <c r="B1" s="3" t="s">
        <v>1</v>
      </c>
      <c r="C1" s="4" t="s">
        <v>2</v>
      </c>
      <c r="D1" s="4" t="s">
        <v>3</v>
      </c>
      <c r="E1" s="4" t="s">
        <v>39</v>
      </c>
      <c r="F1" s="4" t="s">
        <v>4</v>
      </c>
      <c r="G1" s="4" t="s">
        <v>5</v>
      </c>
      <c r="H1" s="4" t="s">
        <v>6</v>
      </c>
      <c r="J1" s="6" t="s">
        <v>7</v>
      </c>
      <c r="K1" s="7">
        <v>5</v>
      </c>
    </row>
    <row r="2" spans="1:18" x14ac:dyDescent="0.2" ht="68" customHeight="1">
      <c r="A2" s="5" t="inlineStr">
        <is>
          <t xml:space="preserve">F1 Obligations Register</t>
        </is>
      </c>
      <c r="B2" s="5" t="inlineStr">
        <is>
          <t xml:space="preserve">Extract every live commitment from signed contracts (any type, incl. 'other'): who it binds incl. affiliates, scope, expiry, waivers, source clause. Updated on every signing.</t>
        </is>
      </c>
      <c r="C2" s="2">
        <v>8</v>
      </c>
      <c r="D2" s="2">
        <v>7</v>
      </c>
      <c r="E2" s="2">
        <v>8</v>
      </c>
      <c r="F2" s="2">
        <f>IF(COUNT(C2:D2)&lt;1,NA(),AVERAGE(C2:E2))</f>
        <v>7.6667</v>
      </c>
      <c r="G2" s="2">
        <v>10</v>
      </c>
      <c r="H2" s="2">
        <f>IFERROR(F2*G2,NA())</f>
        <v>76.667</v>
      </c>
      <c r="J2" s="1" t="s">
        <v>10</v>
      </c>
      <c r="K2" s="1" t="s">
        <v>11</v>
      </c>
      <c r="L2" s="1" t="s">
        <v>12</v>
      </c>
      <c r="M2" s="1" t="s">
        <v>13</v>
      </c>
    </row>
    <row r="3" spans="1:18" x14ac:dyDescent="0.2" ht="68" customHeight="1">
      <c r="A3" s="5" t="inlineStr">
        <is>
          <t xml:space="preserve">F2 Intake &amp; Gate Check</t>
        </is>
      </c>
      <c r="B3" s="5" t="inlineStr">
        <is>
          <t xml:space="preserve">First step on arrival: classify doc and side of table, group into a deal, run basic rules (entity, law, payment, caps, insurance, required docs, deadline) and ROUTE by doc type. NDAs take a fast lane (&lt;1 min).</t>
        </is>
      </c>
      <c r="C3" s="2">
        <v>8</v>
      </c>
      <c r="D3" s="2">
        <v>8</v>
      </c>
      <c r="E3" s="2">
        <v>8</v>
      </c>
      <c r="F3" s="2">
        <f>IF(COUNT(C3:D3)&lt;1,NA(),AVERAGE(C3:E3))</f>
        <v>8.0</v>
      </c>
      <c r="G3" s="2">
        <v>7</v>
      </c>
      <c r="H3" s="2">
        <f>IFERROR(F3*G3,NA())</f>
        <v>56.0</v>
      </c>
      <c r="J3">
        <f>$K$1</f>
        <v>5</v>
      </c>
      <c r="K3">
        <v>0</v>
      </c>
      <c r="L3">
        <v>0</v>
      </c>
      <c r="M3">
        <f>$K$1</f>
        <v>5</v>
      </c>
    </row>
    <row r="4" spans="1:18" x14ac:dyDescent="0.2" ht="68" customHeight="1">
      <c r="A4" s="5" t="inlineStr">
        <is>
          <t xml:space="preserve">F3 Cross-Contract Conflict Check</t>
        </is>
      </c>
      <c r="B4" s="5" t="inlineStr">
        <is>
          <t xml:space="preserve">Test the contract and deal facts against live register entries: non-competes, exclusivity, pricing promises and IP (Gulf Crown vs Al Noor, Lakeshore vs Crestline, Datavane vs CloudSpan); other kinds of commitment are listed for Karandeep to check by hand.</t>
        </is>
      </c>
      <c r="C4" s="2">
        <v>7</v>
      </c>
      <c r="D4" s="2">
        <v>5</v>
      </c>
      <c r="E4" s="2">
        <v>7</v>
      </c>
      <c r="F4" s="2">
        <f>IF(COUNT(C4:D4)&lt;1,NA(),AVERAGE(C4:E4))</f>
        <v>6.3333</v>
      </c>
      <c r="G4" s="2">
        <v>10</v>
      </c>
      <c r="H4" s="2">
        <f>IFERROR(F4*G4,NA())</f>
        <v>63.333</v>
      </c>
      <c r="J4">
        <f>$K$1</f>
        <v>5</v>
      </c>
      <c r="K4">
        <v>10</v>
      </c>
      <c r="L4">
        <v>10</v>
      </c>
      <c r="M4">
        <f>$K$1</f>
        <v>5</v>
      </c>
    </row>
    <row r="5" spans="1:18" x14ac:dyDescent="0.2" ht="68" customHeight="1">
      <c r="A5" s="5" t="inlineStr">
        <is>
          <t xml:space="preserve">F4 Playbook &amp; Fairness Check</t>
        </is>
      </c>
      <c r="B5" s="5" t="inlineStr">
        <is>
          <t xml:space="preserve">One standard, both directions: incoming paper vs AtliQ's positions with precedent; AtliQ's own paper via mirror test + flow-down; NDA mutuality checklist.</t>
        </is>
      </c>
      <c r="C5" s="2">
        <v>8</v>
      </c>
      <c r="D5" s="2">
        <v>7</v>
      </c>
      <c r="E5" s="2">
        <v>7</v>
      </c>
      <c r="F5" s="2">
        <f>IF(COUNT(C5:D5)&lt;1,NA(),AVERAGE(C5:E5))</f>
        <v>7.3333</v>
      </c>
      <c r="G5" s="2">
        <v>8</v>
      </c>
      <c r="H5" s="2">
        <f>IFERROR(F5*G5,NA())</f>
        <v>58.6664</v>
      </c>
    </row>
    <row r="6" spans="1:18" x14ac:dyDescent="0.2" ht="68" customHeight="1">
      <c r="A6" s="5" t="inlineStr">
        <is>
          <t xml:space="preserve">F5 Deal Bundle &amp; Data Readiness</t>
        </is>
      </c>
      <c r="B6" s="5" t="inlineStr">
        <is>
          <t xml:space="preserve">Required documents per party are present AND consistent, in place before data moves; data-movement facts from notes raised for confirmation.</t>
        </is>
      </c>
      <c r="C6" s="2">
        <v>6</v>
      </c>
      <c r="D6" s="2">
        <v>8</v>
      </c>
      <c r="E6" s="2">
        <v>6</v>
      </c>
      <c r="F6" s="2">
        <f>IF(COUNT(C6:D6)&lt;1,NA(),AVERAGE(C6:E6))</f>
        <v>6.6667</v>
      </c>
      <c r="G6" s="2">
        <v>9</v>
      </c>
      <c r="H6" s="2">
        <f>IFERROR(F6*G6,NA())</f>
        <v>60.0003</v>
      </c>
      <c r="J6" s="8" t="s">
        <v>22</v>
      </c>
    </row>
    <row r="7" spans="1:18" x14ac:dyDescent="0.2" ht="68" customHeight="1">
      <c r="A7" s="5" t="inlineStr">
        <is>
          <t xml:space="preserve">F6 Decision Brief &amp; Counsel Pack</t>
        </is>
      </c>
      <c r="B7" s="5" t="inlineStr">
        <is>
          <t xml:space="preserve">Verdict-first brief: max 3 blockers with clause citations and business impact, precedent, what's fine, what wasn't seen; counsel pack only when escalation is needed.</t>
        </is>
      </c>
      <c r="C7" s="2">
        <v>8</v>
      </c>
      <c r="D7" s="2">
        <v>7</v>
      </c>
      <c r="E7" s="2">
        <v>9</v>
      </c>
      <c r="F7" s="2">
        <f>IF(COUNT(C7:D7)&lt;1,NA(),AVERAGE(C7:E7))</f>
        <v>8.0</v>
      </c>
      <c r="G7" s="2">
        <v>8</v>
      </c>
      <c r="H7" s="2">
        <f>IFERROR(F7*G7,NA())</f>
        <v>64.0</v>
      </c>
    </row>
    <row r="8" spans="1:18" x14ac:dyDescent="0.2" ht="68" customHeight="1">
      <c r="A8" s="5" t="inlineStr">
        <is>
          <t xml:space="preserve">F7 Deal Kick-off Check (Sellers)</t>
        </is>
      </c>
      <c r="B8" s="5" t="inlineStr">
        <is>
          <t xml:space="preserve">Seller fills a short deal form (+1 free-text 'anything else you're promising?'); system returns a green/amber/red heads-up with citations; re-runs when deal facts change. No chat.</t>
        </is>
      </c>
      <c r="C8" s="2">
        <v>6</v>
      </c>
      <c r="D8" s="2">
        <v>7</v>
      </c>
      <c r="E8" s="2">
        <v>6</v>
      </c>
      <c r="F8" s="2">
        <f>IF(COUNT(C8:D8)&lt;1,NA(),AVERAGE(C8:E8))</f>
        <v>6.3333</v>
      </c>
      <c r="G8" s="2">
        <v>8</v>
      </c>
      <c r="H8" s="2">
        <f>IFERROR(F8*G8,NA())</f>
        <v>50.6664</v>
      </c>
    </row>
    <row r="9" spans="1:18" x14ac:dyDescent="0.2" ht="68" customHeight="1">
      <c r="A9" s="5" t="inlineStr">
        <is>
          <t xml:space="preserve">F8 Contract Queue &amp; Deadlines (non-AI)</t>
        </is>
      </c>
      <c r="B9" s="5" t="inlineStr">
        <is>
          <t xml:space="preserve">All open contracts with due in X days / overdue, status, owner and latest verdict: one shared queue for sellers and Karandeep. No at-risk guesses.</t>
        </is>
      </c>
      <c r="C9" s="2">
        <v>9</v>
      </c>
      <c r="D9" s="2">
        <v>9</v>
      </c>
      <c r="E9" s="2">
        <v>8</v>
      </c>
      <c r="F9" s="2">
        <f>IF(COUNT(C9:D9)&lt;1,NA(),AVERAGE(C9:E9))</f>
        <v>8.6667</v>
      </c>
      <c r="G9" s="2">
        <v>6</v>
      </c>
      <c r="H9" s="2">
        <f>IFERROR(F9*G9,NA())</f>
        <v>52.0002</v>
      </c>
      <c r="J9" s="1" t="s">
        <v>27</v>
      </c>
    </row>
    <row r="10" spans="1:18" x14ac:dyDescent="0.2" ht="68" customHeight="1">
      <c r="A10" s="5" t="inlineStr">
        <is>
          <t xml:space="preserve">F9 Redline &amp; Reply Drafts</t>
        </is>
      </c>
      <c r="B10" s="5" t="inlineStr">
        <is>
          <t xml:space="preserve">Drafts counter-clauses and the reply email for Karandeep to edit and send himself.</t>
        </is>
      </c>
      <c r="C10" s="2">
        <v>7</v>
      </c>
      <c r="D10" s="2">
        <v>6</v>
      </c>
      <c r="E10" s="2">
        <v>4</v>
      </c>
      <c r="F10" s="2">
        <f>IF(COUNT(C10:D10)&lt;1,NA(),AVERAGE(C10:E10))</f>
        <v>5.6667</v>
      </c>
      <c r="G10" s="2">
        <v>5</v>
      </c>
      <c r="H10" s="2">
        <f>IFERROR(F10*G10,NA())</f>
        <v>28.3335</v>
      </c>
      <c r="J10" t="s">
        <v>28</v>
      </c>
      <c r="K10">
        <f>$K$1+(10-$K$1)/2</f>
        <v>7.5</v>
      </c>
      <c r="L10">
        <f>$K$1+(10-$K$1)/2</f>
        <v>7.5</v>
      </c>
    </row>
    <row r="11" spans="1:18" x14ac:dyDescent="0.2" ht="68" customHeight="1">
      <c r="A11" s="5" t="inlineStr">
        <is>
          <t xml:space="preserve">F10 Template Drift + Date Alerts</t>
        </is>
      </c>
      <c r="B11" s="5" t="inlineStr">
        <is>
          <t xml:space="preserve">Runs the fairness check on AtliQ's own templates when the playbook changes; alerts on expiries, renewals, end-of-contract data return.</t>
        </is>
      </c>
      <c r="C11" s="2">
        <v>8</v>
      </c>
      <c r="D11" s="2">
        <v>8</v>
      </c>
      <c r="E11" s="2">
        <v>7</v>
      </c>
      <c r="F11" s="2">
        <f>IF(COUNT(C11:D11)&lt;1,NA(),AVERAGE(C11:E11))</f>
        <v>7.6667</v>
      </c>
      <c r="G11" s="2">
        <v>5</v>
      </c>
      <c r="H11" s="2">
        <f>IFERROR(F11*G11,NA())</f>
        <v>38.3335</v>
      </c>
      <c r="J11" t="s">
        <v>29</v>
      </c>
      <c r="K11">
        <f>$K$1/2</f>
        <v>2.5</v>
      </c>
      <c r="L11">
        <f>$K$1+(10-$K$1)/2</f>
        <v>7.5</v>
      </c>
    </row>
    <row r="12" spans="1:18" x14ac:dyDescent="0.2" ht="68" customHeight="1">
      <c r="A12" s="5" t="inlineStr">
        <is>
          <t xml:space="preserve">F11 Seller Open Q&amp;A</t>
        </is>
      </c>
      <c r="B12" s="5" t="inlineStr">
        <is>
          <t xml:space="preserve">Free-form questions ('what risks do I have?') over the register and deal facts.</t>
        </is>
      </c>
      <c r="C12" s="2">
        <v>5</v>
      </c>
      <c r="D12" s="2">
        <v>4</v>
      </c>
      <c r="E12" s="2">
        <v>4</v>
      </c>
      <c r="F12" s="2">
        <f>IF(COUNT(C12:D12)&lt;1,NA(),AVERAGE(C12:E12))</f>
        <v>4.3333</v>
      </c>
      <c r="G12" s="2">
        <v>6</v>
      </c>
      <c r="H12" s="2">
        <f>IFERROR(F12*G12,NA())</f>
        <v>25.9998</v>
      </c>
      <c r="J12" t="s">
        <v>30</v>
      </c>
      <c r="K12">
        <f>$K$1+(10-$K$1)/2</f>
        <v>7.5</v>
      </c>
      <c r="L12">
        <f>$K$1/2</f>
        <v>2.5</v>
      </c>
    </row>
    <row r="13" spans="1:18" x14ac:dyDescent="0.2" ht="68" customHeight="1">
      <c r="A13" s="5" t="inlineStr">
        <is>
          <t xml:space="preserve">F12 Autonomous Drafting &amp; Negotiation Agent</t>
        </is>
      </c>
      <c r="B13" s="5" t="inlineStr">
        <is>
          <t xml:space="preserve">Drafts AtliQ paper from scratch and sends redlines to counterparties without human review.</t>
        </is>
      </c>
      <c r="C13" s="2">
        <v>4</v>
      </c>
      <c r="D13" s="2">
        <v>3</v>
      </c>
      <c r="E13" s="2">
        <v>2</v>
      </c>
      <c r="F13" s="2">
        <f>IF(COUNT(C13:D13)&lt;1,NA(),AVERAGE(C13:E13))</f>
        <v>3.0</v>
      </c>
      <c r="G13" s="2">
        <v>4</v>
      </c>
      <c r="H13" s="2">
        <f>IFERROR(F13*G13,NA())</f>
        <v>12.0</v>
      </c>
      <c r="J13" t="s">
        <v>31</v>
      </c>
      <c r="K13">
        <f>$K$1/2</f>
        <v>2.5</v>
      </c>
      <c r="L13">
        <f>$K$1/2</f>
        <v>2.5</v>
      </c>
    </row>
    <row r="15" spans="1:18" x14ac:dyDescent="0.2">
      <c r="J15" s="8" t="s">
        <v>45</v>
      </c>
    </row>
    <row r="16" spans="1:18" x14ac:dyDescent="0.2">
      <c r="K16" t="str">
        <f>A2&amp;""</f>
        <v>F1 Obligations Register</v>
      </c>
      <c r="L16" t="str">
        <f>A3&amp;""</f>
        <v>F2 Intake &amp; Gate Check</v>
      </c>
      <c r="M16" t="str">
        <f>A4&amp;""</f>
        <v>F3 Cross-Contract Conflict Check</v>
      </c>
      <c r="N16" t="str">
        <f>A5&amp;""</f>
        <v>F4 Playbook &amp; Fairness Check</v>
      </c>
      <c r="O16" t="str">
        <f>A6&amp;""</f>
        <v>F5 Deal Bundle &amp; Data Readiness</v>
      </c>
      <c r="P16" t="str">
        <f>A7&amp;""</f>
        <v>F6 Decision Brief &amp; Counsel Pack</v>
      </c>
      <c r="Q16" t="str">
        <f>A8&amp;""</f>
        <v>F7 Deal Kick-off Check (Sellers)</v>
      </c>
      <c r="R16" t="str">
        <f>A9&amp;""</f>
        <v>F8 Contract Queue &amp; Deadlines (non-AI)</v>
      </c>
      <c r="S16" t="str">
        <f>A10&amp;""</f>
        <v>F9 Redline &amp; Reply Drafts</v>
      </c>
      <c r="T16" t="str">
        <f>A11&amp;""</f>
        <v>F10 Template Drift + Date Alerts</v>
      </c>
      <c r="U16" t="str">
        <f>A12&amp;""</f>
        <v>F11 Seller Open Q&amp;A</v>
      </c>
      <c r="V16" t="str">
        <f>A13&amp;""</f>
        <v>F12 Autonomous Drafting &amp; Negotiation Agent</v>
      </c>
    </row>
    <row r="17" spans="10:18" x14ac:dyDescent="0.2">
      <c r="J17">
        <v>1</v>
      </c>
      <c r="K17">
        <v>2</v>
      </c>
      <c r="L17">
        <v>3</v>
      </c>
      <c r="M17">
        <v>4</v>
      </c>
      <c r="N17">
        <v>5</v>
      </c>
      <c r="O17">
        <v>6</v>
      </c>
      <c r="P17">
        <v>7</v>
      </c>
      <c r="Q17">
        <v>8</v>
      </c>
      <c r="R17">
        <v>9</v>
      </c>
      <c r="S17">
        <v>10</v>
      </c>
      <c r="T17">
        <v>11</v>
      </c>
      <c r="U17">
        <v>12</v>
      </c>
      <c r="V17">
        <v>13</v>
      </c>
    </row>
    <row r="43" spans="1:20" ht="20" customHeight="1">
      <c r="A43" s="3" t="inlineStr">
        <is>
          <t xml:space="preserve">SCORING RUBRIC</t>
        </is>
      </c>
      <c r="B43" s="3" t="inlineStr">
        <is>
          <t xml:space="preserve">How each column was scored (0–10 scale, template midpoint = 5)</t>
        </is>
      </c>
      <c r="C43" s="3"/>
      <c r="D43" s="3"/>
      <c r="E43" s="3"/>
      <c r="F43" s="3"/>
      <c r="G43" s="3"/>
      <c r="H43" s="3"/>
    </row>
    <row r="44" spans="1:20" ht="36" customHeight="1">
      <c r="A44" s="3" t="inlineStr">
        <is>
          <t xml:space="preserve">Data Feasibility (0–10)</t>
        </is>
      </c>
      <c r="B44" s="5" t="inlineStr">
        <is>
          <t xml:space="preserve">10 = all required data exists in the dataset, clean and structured. 5 = data exists but scattered, partial or informal (notes). 0 = data doesn't exist and must be created.</t>
        </is>
      </c>
      <c r="C44" s="5"/>
      <c r="D44" s="5"/>
      <c r="E44" s="5"/>
      <c r="F44" s="5"/>
      <c r="G44" s="5"/>
      <c r="H44" s="5"/>
    </row>
    <row r="45" spans="1:20" ht="36" customHeight="1">
      <c r="A45" s="3" t="inlineStr">
        <is>
          <t xml:space="preserve">Implementation Feasibility (0–10)</t>
        </is>
      </c>
      <c r="B45" s="5" t="inlineStr">
        <is>
          <t xml:space="preserve">10 = deterministic rules or mature AI task (extraction, classification). 5 = AI reasoning that needs careful prompting and evals. 0 = unproven or very error-sensitive.</t>
        </is>
      </c>
      <c r="C45" s="5"/>
      <c r="D45" s="5"/>
      <c r="E45" s="5"/>
      <c r="F45" s="5"/>
      <c r="G45" s="5"/>
      <c r="H45" s="5"/>
    </row>
    <row r="46" spans="1:20" ht="36" customHeight="1">
      <c r="A46" s="3" t="inlineStr">
        <is>
          <t xml:space="preserve">Adoption Feasibility (0–10)</t>
        </is>
      </c>
      <c r="B46" s="5" t="inlineStr">
        <is>
          <t xml:space="preserve">10 = fits Karandeep's/sellers' workflow with no extra effort and is easy to trust. 5 = needs a new habit or one-time human input. 0 = requires giving up control or trust users won't give.</t>
        </is>
      </c>
      <c r="C46" s="5"/>
      <c r="D46" s="5"/>
      <c r="E46" s="5"/>
      <c r="F46" s="5"/>
      <c r="G46" s="5"/>
      <c r="H46" s="5"/>
    </row>
    <row r="47" spans="1:20" ht="36" customHeight="1">
      <c r="A47" s="3" t="inlineStr">
        <is>
          <t xml:space="preserve">Impact (0–10)</t>
        </is>
      </c>
      <c r="B47" s="5" t="inlineStr">
        <is>
          <t xml:space="preserve">Weighted judgment of: risk prevented (₹/$ and severity), frequency (how many contracts), Karandeep hours saved, sellers unblocked. 10 = prevents deal-blocking or regulatory risk across many deals.</t>
        </is>
      </c>
      <c r="C47" s="5"/>
      <c r="D47" s="5"/>
      <c r="E47" s="5"/>
      <c r="F47" s="5"/>
      <c r="G47" s="5"/>
      <c r="H47" s="5"/>
    </row>
    <row r="48" spans="1:20" ht="36" customHeight="1">
      <c r="A48" s="3" t="inlineStr">
        <is>
          <t xml:space="preserve">Quadrants (midpoint 5)</t>
        </is>
      </c>
      <c r="B48" s="5" t="inlineStr">
        <is>
          <t xml:space="preserve">Quick Wins: feasibility ≥5, impact ≥5. Big Bets: feasibility &lt;5, impact ≥5. Fill-Ins: feasibility ≥5, impact &lt;5. Deprioritize: both &lt;5.</t>
        </is>
      </c>
      <c r="C48" s="5"/>
      <c r="D48" s="5"/>
      <c r="E48" s="5"/>
      <c r="F48" s="5"/>
      <c r="G48" s="5"/>
      <c r="H48" s="5"/>
    </row>
    <row r="50" spans="1:20" ht="20" customHeight="1">
      <c r="A50" s="3" t="inlineStr">
        <is>
          <t xml:space="preserve">RATIONALE &amp; DECISION</t>
        </is>
      </c>
      <c r="B50" s="3" t="inlineStr">
        <is>
          <t xml:space="preserve">Why each score, with dataset evidence. Decision: MVP / v2 / Never</t>
        </is>
      </c>
      <c r="C50" s="3"/>
      <c r="D50" s="3"/>
      <c r="E50" s="3"/>
      <c r="F50" s="3"/>
      <c r="G50" s="3"/>
      <c r="H50" s="3"/>
    </row>
    <row r="51" spans="1:20" ht="66" customHeight="1">
      <c r="A51" s="3" t="inlineStr">
        <is>
          <t xml:space="preserve">F1 Obligations Register</t>
        </is>
      </c>
      <c r="B51" s="5" t="inlineStr">
        <is>
          <t xml:space="preserve">[MVP (foundation)]  Data: 17 signed contracts, scattered, one OCR'd, ~10 referenced docs missing. Impl: mature extraction; each entry needs a verbatim source quote. Adoption: Karandeep verifies entries once. Impact: fixes the root cause; one Al Noor clause blocks 3 deals worth $230k. Also makes seller checks cheap (lookup, not re-reading).</t>
        </is>
      </c>
      <c r="C51" s="5"/>
      <c r="D51" s="5"/>
      <c r="E51" s="5"/>
      <c r="F51" s="5"/>
      <c r="G51" s="5"/>
      <c r="H51" s="5"/>
    </row>
    <row r="52" spans="1:20" ht="66" customHeight="1">
      <c r="A52" s="3" t="inlineStr">
        <is>
          <t xml:space="preserve">F2 Intake &amp; Gate Check</t>
        </is>
      </c>
      <c r="B52" s="5" t="inlineStr">
        <is>
          <t xml:space="preserve">[MVP]  Data: entity sheet, checklist, tracker. Impl: AI extracts fields, rules decide; doc-type routing sends NDAs to a fast lane (mutuality + covenant scan, target &lt;1 min). Adoption: invisible, saves time. Impact: catches TravelHub entity mismatch, Rheinwerk missing annex, Harrington insurance gap before deep review; most volume is NDAs.</t>
        </is>
      </c>
      <c r="C52" s="5"/>
      <c r="D52" s="5"/>
      <c r="E52" s="5"/>
      <c r="F52" s="5"/>
      <c r="G52" s="5"/>
      <c r="H52" s="5"/>
    </row>
    <row r="53" spans="1:20" ht="66" customHeight="1">
      <c r="A53" s="3" t="inlineStr">
        <is>
          <t xml:space="preserve">F3 Cross-Contract Conflict Check</t>
        </is>
      </c>
      <c r="B53" s="5" t="inlineStr">
        <is>
          <t xml:space="preserve">[MVP (core differentiator)]  Data: register + drafts + deal facts. Impl: hardest reasoning (Affiliate, 'Hospitality Business', territory); needs strong evals. Held-out set (never used for tuning): 7 of 11 conflicts found; all 4 misses were commitment kinds not yet compared, and the check-by-hand list pointed to the right contract in all 4. Adoption: trusted only with both clauses side by side. Impact: 7 of 12 deals' decisive risk sits in another document.</t>
        </is>
      </c>
      <c r="C53" s="5"/>
      <c r="D53" s="5"/>
      <c r="E53" s="5"/>
      <c r="F53" s="5"/>
      <c r="G53" s="5"/>
      <c r="H53" s="5"/>
    </row>
    <row r="54" spans="1:20" ht="66" customHeight="1">
      <c r="A54" s="3" t="inlineStr">
        <is>
          <t xml:space="preserve">F4 Playbook &amp; Fairness Check</t>
        </is>
      </c>
      <c r="B54" s="5" t="inlineStr">
        <is>
          <t xml:space="preserve">[MVP]  Data: checklist, negotiation notes, Karandeep's ~30-min tagging. Impl: clause comparison + mirror test + mutuality checklist. Adoption: needs the tagged playbook. Impact: Harrington LDs/indemnity, FinServe fake-mutual NDA, Kriti and Marcus Reed unfair paper, Rohan Iyer IP gap.</t>
        </is>
      </c>
      <c r="C54" s="5"/>
      <c r="D54" s="5"/>
      <c r="E54" s="5"/>
      <c r="F54" s="5"/>
      <c r="G54" s="5"/>
      <c r="H54" s="5"/>
    </row>
    <row r="55" spans="1:20" ht="66" customHeight="1">
      <c r="A55" s="3" t="inlineStr">
        <is>
          <t xml:space="preserve">F5 Deal Bundle &amp; Data Readiness</t>
        </is>
      </c>
      <c r="B55" s="5" t="inlineStr">
        <is>
          <t xml:space="preserve">[MVP]  Data: who touches the data often lives only in meeting notes. Impl: mostly rules. Adoption: needs sellers/Pranav to confirm facts. Impact: Harrington PHI in Pune before any BAA; missing sub-BAAs; Rheinwerk DPA.</t>
        </is>
      </c>
      <c r="C55" s="5"/>
      <c r="D55" s="5"/>
      <c r="E55" s="5"/>
      <c r="F55" s="5"/>
      <c r="G55" s="5"/>
      <c r="H55" s="5"/>
    </row>
    <row r="56" spans="1:20" ht="66" customHeight="1">
      <c r="A56" s="3" t="inlineStr">
        <is>
          <t xml:space="preserve">F6 Decision Brief &amp; Counsel Pack</t>
        </is>
      </c>
      <c r="B56" s="5" t="inlineStr">
        <is>
          <t xml:space="preserve">[MVP]  Data: verified findings only. Impl: constrained generation. Adoption: built for the 10:30 pm, 5-minute decision. Impact: turns checks into action; counsel packs cut 5–7 day turnaround.</t>
        </is>
      </c>
      <c r="C56" s="5"/>
      <c r="D56" s="5"/>
      <c r="E56" s="5"/>
      <c r="F56" s="5"/>
      <c r="G56" s="5"/>
      <c r="H56" s="5"/>
    </row>
    <row r="57" spans="1:20" ht="66" customHeight="1">
      <c r="A57" s="3" t="inlineStr">
        <is>
          <t xml:space="preserve">F7 Deal Kick-off Check (Sellers)</t>
        </is>
      </c>
      <c r="B57" s="5" t="inlineStr">
        <is>
          <t xml:space="preserve">[MVP (secondary persona)]  Data: the form captures deal facts that were never written down (rates offered, tools reused, sites in scope). Impl: lookup over the pre-built register with fixed question types; free-text item checked against all entries, else 'couldn't check, ask Karandeep'. Adoption: new habit, fast payoff. Impact: catches Lakeshore rate, PipeKit reuse, BlueOrchid GCC sites before the client hears a promise.</t>
        </is>
      </c>
      <c r="C57" s="5"/>
      <c r="D57" s="5"/>
      <c r="E57" s="5"/>
      <c r="F57" s="5"/>
      <c r="G57" s="5"/>
      <c r="H57" s="5"/>
    </row>
    <row r="58" spans="1:20" ht="66" customHeight="1">
      <c r="A58" s="3" t="inlineStr">
        <is>
          <t xml:space="preserve">F8 Contract Queue &amp; Deadlines (non-AI)</t>
        </is>
      </c>
      <c r="B58" s="5" t="inlineStr">
        <is>
          <t xml:space="preserve">[MVP (simple view)]  Data: tracker exists (messy); deadlines live in notes today. Impl: simple UI + date rules, no AI. Adoption: sellers want visibility. Impact: moderate; ShopSwift lost a quarter to a 9-day queue; 7 deals due 1–15 Oct had no agreed order. Shown honestly as a non-AI fix; no at-risk prediction because offline decisions are not visible.</t>
        </is>
      </c>
      <c r="C58" s="5"/>
      <c r="D58" s="5"/>
      <c r="E58" s="5"/>
      <c r="F58" s="5"/>
      <c r="G58" s="5"/>
      <c r="H58" s="5"/>
    </row>
    <row r="59" spans="1:20" ht="66" customHeight="1">
      <c r="A59" s="3" t="inlineStr">
        <is>
          <t xml:space="preserve">F9 Redline &amp; Reply Drafts</t>
        </is>
      </c>
      <c r="B59" s="5" t="inlineStr">
        <is>
          <t xml:space="preserve">[v2 (sequenced)]  Data: playbook positions give counter-language. Impl: generation is easy. Adoption: low until findings are trusted; a confident wrong redline is worse than none. Impact: saves drafting time. Sequenced after F3/F4 prove accurate.</t>
        </is>
      </c>
      <c r="C59" s="5"/>
      <c r="D59" s="5"/>
      <c r="E59" s="5"/>
      <c r="F59" s="5"/>
      <c r="G59" s="5"/>
      <c r="H59" s="5"/>
    </row>
    <row r="60" spans="1:20" ht="66" customHeight="1">
      <c r="A60" s="3" t="inlineStr">
        <is>
          <t xml:space="preserve">F10 Template Drift + Date Alerts</t>
        </is>
      </c>
      <c r="B60" s="5" t="inlineStr">
        <is>
          <t xml:space="preserve">[v2]  Data: templates + register dates. Impl: reuses F4 engine and register dates. Adoption: easy. Impact: modest but compounding (PixelCraft fixes never applied; CareBridge PHI return due 5 Oct). Builds on F1/F4.</t>
        </is>
      </c>
      <c r="C60" s="5"/>
      <c r="D60" s="5"/>
      <c r="E60" s="5"/>
      <c r="F60" s="5"/>
      <c r="G60" s="5"/>
      <c r="H60" s="5"/>
    </row>
    <row r="61" spans="1:20" ht="66" customHeight="1">
      <c r="A61" s="3" t="inlineStr">
        <is>
          <t xml:space="preserve">F11 Seller Open Q&amp;A</t>
        </is>
      </c>
      <c r="B61" s="5" t="inlineStr">
        <is>
          <t xml:space="preserve">[v2 (if usage shows need)]  Data: same as F7. Impl: open-ended questions invite vague or falsely reassuring answers. Adoption: needs trust and access control. Impact: incremental over F7's guided form. Revisit if F7 usage shows unmet questions.</t>
        </is>
      </c>
      <c r="C61" s="5"/>
      <c r="D61" s="5"/>
      <c r="E61" s="5"/>
      <c r="F61" s="5"/>
      <c r="G61" s="5"/>
      <c r="H61" s="5"/>
    </row>
    <row r="62" spans="1:20" ht="66" customHeight="1">
      <c r="A62" s="3" t="inlineStr">
        <is>
          <t xml:space="preserve">F12 Autonomous Drafting &amp; Negotiation Agent</t>
        </is>
      </c>
      <c r="B62" s="5" t="inlineStr">
        <is>
          <t xml:space="preserve">[Never (by design)]  Data: no clean template corpus. Impl: high error cost. Adoption: Karandeep must own every commitment; sending without review breaks a core guardrail. Deliberately deprioritized: the brief asks what the system should never do on its own.</t>
        </is>
      </c>
      <c r="C62" s="5"/>
      <c r="D62" s="5"/>
      <c r="E62" s="5"/>
      <c r="F62" s="5"/>
      <c r="G62" s="5"/>
      <c r="H62" s="5"/>
    </row>
  </sheetData>
  <mergeCells count="19">
    <mergeCell ref="B43:H43"/>
    <mergeCell ref="B44:H44"/>
    <mergeCell ref="B45:H45"/>
    <mergeCell ref="B46:H46"/>
    <mergeCell ref="B47:H47"/>
    <mergeCell ref="B48:H48"/>
    <mergeCell ref="B50:H50"/>
    <mergeCell ref="B51:H51"/>
    <mergeCell ref="B52:H52"/>
    <mergeCell ref="B53:H53"/>
    <mergeCell ref="B54:H54"/>
    <mergeCell ref="B55:H55"/>
    <mergeCell ref="B56:H56"/>
    <mergeCell ref="B57:H57"/>
    <mergeCell ref="B58:H58"/>
    <mergeCell ref="B59:H59"/>
    <mergeCell ref="B60:H60"/>
    <mergeCell ref="B61:H61"/>
    <mergeCell ref="B62:H62"/>
  </mergeCells>
  <pageMargins left="0.7" right="0.7" top="0.75" bottom="0.75" header="0.3" footer="0.3"/>
  <pageSetup orientation="landscape" fitToWidth="1" fitToHeight="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AtliQ Analyzer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Karandeep Grover</dc:creator>
  <cp:keywords/>
  <dc:description/>
  <cp:lastModifiedBy>Karandeep Grover</cp:lastModifiedBy>
  <cp:revision/>
  <dcterms:created xsi:type="dcterms:W3CDTF">2026-07-25T06:15:57Z</dcterms:created>
  <dcterms:modified xsi:type="dcterms:W3CDTF">2026-09-27T13:50:01Z</dcterms:modified>
  <cp:category/>
  <cp:contentStatus/>
</cp:coreProperties>
</file>