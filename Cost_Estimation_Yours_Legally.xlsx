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puts" sheetId="2" state="visible" r:id="rId4"/>
    <sheet name="Inference" sheetId="3" state="visible" r:id="rId5"/>
    <sheet name="Embeddings" sheetId="4" state="visible" r:id="rId6"/>
    <sheet name="Cost Savings" sheetId="5" state="visible" r:id="rId7"/>
    <sheet name="Method &amp; Sour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<sst xmlns="http://schemas.openxmlformats.org/spreadsheetml/2006/main" count="518" uniqueCount="440">
  <si>
    <t xml:space="preserve">Yours Legally, — Cost estimation summary</t>
  </si>
  <si>
    <t xml:space="preserve">Gemini API · today's volume from the Inputs sheet · all figures in USD per month unless stated</t>
  </si>
  <si>
    <t xml:space="preserve">Running cost</t>
  </si>
  <si>
    <t xml:space="preserve">Metric</t>
  </si>
  <si>
    <t xml:space="preserve">Value</t>
  </si>
  <si>
    <t xml:space="preserve">What it means</t>
  </si>
  <si>
    <t xml:space="preserve">AI cost per deal (average, excl. eval runs)</t>
  </si>
  <si>
    <t xml:space="preserve">Reviews, re-checks, register updates and seller checks averaged over deals.</t>
  </si>
  <si>
    <t xml:space="preserve">AI cost per full-review deal (main + supporting docs)</t>
  </si>
  <si>
    <t xml:space="preserve">Fixed pipeline of model calls per document; rules run as code.</t>
  </si>
  <si>
    <t xml:space="preserve">AI cost per NDA (fast lane)</t>
  </si>
  <si>
    <t xml:space="preserve">Inference per month</t>
  </si>
  <si>
    <t xml:space="preserve">Embeddings per month</t>
  </si>
  <si>
    <t xml:space="preserve">Clause index updates + query embeddings: tiny.</t>
  </si>
  <si>
    <t xml:space="preserve">AI running cost per month</t>
  </si>
  <si>
    <t xml:space="preserve">Inference + embeddings</t>
  </si>
  <si>
    <t xml:space="preserve">Platform per month (production only)</t>
  </si>
  <si>
    <t xml:space="preserve">Hosting + database + sign-in; $0 for the capstone on Vercel Hobby.</t>
  </si>
  <si>
    <t xml:space="preserve">Total running cost per month (production)</t>
  </si>
  <si>
    <t xml:space="preserve">Inference per month at growth volume</t>
  </si>
  <si>
    <t xml:space="preserve">~20 contracts/month (PRD §8).</t>
  </si>
  <si>
    <t xml:space="preserve">Savings</t>
  </si>
  <si>
    <t xml:space="preserve">Karandeep's hours on contracts: today</t>
  </si>
  <si>
    <t xml:space="preserve">Hours per month</t>
  </si>
  <si>
    <t xml:space="preserve">Karandeep's hours on contracts: with Yours Legally</t>
  </si>
  <si>
    <t xml:space="preserve">Share of his contract time given back</t>
  </si>
  <si>
    <t xml:space="preserve">Total savings per month (base case)</t>
  </si>
  <si>
    <t xml:space="preserve">CEO time + seller time + counsel − AI cost (template scope)</t>
  </si>
  <si>
    <t xml:space="preserve">% savings vs manual review</t>
  </si>
  <si>
    <t xml:space="preserve">Return per $1 of AI cost</t>
  </si>
  <si>
    <t xml:space="preserve">Savings per month after production platform costs</t>
  </si>
  <si>
    <t xml:space="preserve">Return per $1 of total running cost (production)</t>
  </si>
  <si>
    <t xml:space="preserve">Savings per month incl. risk and revenue protected</t>
  </si>
  <si>
    <t xml:space="preserve">Adds the expected value of avoided incidents and lost deals</t>
  </si>
  <si>
    <t xml:space="preserve">One-time setup cost</t>
  </si>
  <si>
    <t xml:space="preserve">Register + clause index backfill + Karandeep's verification time</t>
  </si>
  <si>
    <t xml:space="preserve">Payback (months)</t>
  </si>
  <si>
    <t xml:space="preserve">Yours Legally, — Cost estimation inputs (measured tokens)</t>
  </si>
  <si>
    <t xml:space="preserve">Blue = input you can change · black = formula · green = linked from another sheet · yellow fill = key assumption to sanity-check</t>
  </si>
  <si>
    <t xml:space="preserve">1. Volume (per month)</t>
  </si>
  <si>
    <t xml:space="preserve">Contracts (deals) reviewed per month (today)</t>
  </si>
  <si>
    <t xml:space="preserve">Client interview: about 3 to 4 contracts plus 4 to 5 NDAs a month.</t>
  </si>
  <si>
    <t xml:space="preserve">Share of deals that are NDA-only</t>
  </si>
  <si>
    <t xml:space="preserve">Client meeting 2: 4.5 NDAs of about 8 documents a month.</t>
  </si>
  <si>
    <t xml:space="preserve">Real contract length vs the dataset samples (x)</t>
  </si>
  <si>
    <t xml:space="preserve">Client meeting 2: samples are about 4 pages; real contracts 10 to 15 pages. Multiplies the tokens of steps that read the whole document.</t>
  </si>
  <si>
    <t xml:space="preserve">Full-review deals per month (MSA, SOW, partnership, AtliQ paper…)</t>
  </si>
  <si>
    <t xml:space="preserve">Formula</t>
  </si>
  <si>
    <t xml:space="preserve">NDA fast-lane reviews per month</t>
  </si>
  <si>
    <t xml:space="preserve">Supporting documents per full-review deal (BAA, DPA, annex, waiver…)</t>
  </si>
  <si>
    <t xml:space="preserve">Assumption: every full-review deal has at least one supporting compliance document, annex or waiver → 2 documents per deal in total. (The dataset averages 1.15 only because supporting documents were MISSING, which is the problem we're solving.)</t>
  </si>
  <si>
    <t xml:space="preserve">Share of documents that arrive as scans (read by OCR)</t>
  </si>
  <si>
    <t xml:space="preserve">Assumption: some clients send scanned PDFs; only those need the OCR step.</t>
  </si>
  <si>
    <t xml:space="preserve">Brief versions per deal (incl. re-checks)</t>
  </si>
  <si>
    <t xml:space="preserve">Assumption: half of deals get one revised draft or added input (FR-17).</t>
  </si>
  <si>
    <t xml:space="preserve">Share of a re-check served from cache</t>
  </si>
  <si>
    <t xml:space="preserve">Assumption: unchanged documents and steps reuse cached results (cache by document hash).</t>
  </si>
  <si>
    <t xml:space="preserve">New contracts signed per month (added to the register)</t>
  </si>
  <si>
    <t xml:space="preserve">Assumption: most reviewed deals get signed; each signed contract is extracted into the register (FR-1).</t>
  </si>
  <si>
    <t xml:space="preserve">Seller deal checks per month (incl. re-runs)</t>
  </si>
  <si>
    <t xml:space="preserve">Assumption: one check per new deal plus re-runs after banners (FR-13, FR-19).</t>
  </si>
  <si>
    <t xml:space="preserve">Growth scenario: deals per month</t>
  </si>
  <si>
    <t xml:space="preserve">PRD §8: design for ~20 contracts/month (2× today).</t>
  </si>
  <si>
    <t xml:space="preserve">2. Conflict check and evals</t>
  </si>
  <si>
    <t xml:space="preserve">Register entries passed to each conflict check (after the code filter)</t>
  </si>
  <si>
    <t xml:space="preserve">Measured on the prototype: 0–2 candidates per contract with 57 entries (review log). 3 = headroom. Raise it to model hundreds of contracts (e.g. 8–10).</t>
  </si>
  <si>
    <t xml:space="preserve">Tokens per register entry sent to the model</t>
  </si>
  <si>
    <t xml:space="preserve">Entry summary + verbatim source quote + scope fields.</t>
  </si>
  <si>
    <t xml:space="preserve">Conflict check: other input tokens (prompt + relevant contract clauses)</t>
  </si>
  <si>
    <t xml:space="preserve">MEASURED: conflict calls averaged ~4,600 input tokens with the prototype's candidates; 3,400 + 3 x 400.</t>
  </si>
  <si>
    <t xml:space="preserve">Full eval-set runs per month</t>
  </si>
  <si>
    <t xml:space="preserve">Each run = all 50 eval cases. Weekly regression before releases (PRD §14 Stage 1). Not '4 evals'.</t>
  </si>
  <si>
    <t xml:space="preserve">Repeats per eval run (consistency check)</t>
  </si>
  <si>
    <t xml:space="preserve">Set to 3 when running the consistency test (--repeat 3, PRD §11).</t>
  </si>
  <si>
    <t xml:space="preserve">AI documents per eval run: main agreements (full review)</t>
  </si>
  <si>
    <t xml:space="preserve">Dataset: 15 incoming documents = 11 main agreements + 1 supporting (Harrington BAA) + 3 NDAs. The other eval cases (linking, access, register) run as code: $0.</t>
  </si>
  <si>
    <t xml:space="preserve">AI documents per eval run: supporting documents</t>
  </si>
  <si>
    <t xml:space="preserve">Harrington BAA</t>
  </si>
  <si>
    <t xml:space="preserve">AI documents per eval run: NDAs</t>
  </si>
  <si>
    <t xml:space="preserve">FinServe, LoopMart, Ortiz NDA</t>
  </si>
  <si>
    <t xml:space="preserve">3. Model prices: Gemini API paid tier, $ per 1M tokens (output price includes thinking tokens)</t>
  </si>
  <si>
    <t xml:space="preserve">Model</t>
  </si>
  <si>
    <t xml:space="preserve">Input $/1M</t>
  </si>
  <si>
    <t xml:space="preserve">Output $/1M</t>
  </si>
  <si>
    <t xml:space="preserve">Notes</t>
  </si>
  <si>
    <t xml:space="preserve">Gemini 3.5 Flash</t>
  </si>
  <si>
    <t xml:space="preserve">Strong model used in the build (gemini-3.5-flash)</t>
  </si>
  <si>
    <t xml:space="preserve">Gemini 3.5 Flash-Lite</t>
  </si>
  <si>
    <t xml:space="preserve">Fast model used in the build</t>
  </si>
  <si>
    <t xml:space="preserve">Gemini 3.8 Flash (to 31 Dec 2026)</t>
  </si>
  <si>
    <t xml:space="preserve">Introductory price until 31 Dec 2026</t>
  </si>
  <si>
    <t xml:space="preserve">Gemini 3.8 Flash (from 1 Jan 2027)</t>
  </si>
  <si>
    <t xml:space="preserve">Standard price from 1 Jan 2027</t>
  </si>
  <si>
    <t xml:space="preserve">Gemini 3.1 Flash-Lite</t>
  </si>
  <si>
    <t xml:space="preserve">Cheapest option</t>
  </si>
  <si>
    <t xml:space="preserve">Gemini 3 Flash Preview</t>
  </si>
  <si>
    <t xml:space="preserve">Preview model</t>
  </si>
  <si>
    <t xml:space="preserve">gemini-embedding-001 (embeddings, input only)</t>
  </si>
  <si>
    <t xml:space="preserve">Embedding price per 1M input tokens</t>
  </si>
  <si>
    <t xml:space="preserve">Source: ai.google.dev/gemini-api/docs/pricing (checked 5 Oct 2026); embeddings: Google Developers Blog, Gemini Embedding GA. The free tier exists but rate-limits; costs here use paid prices.</t>
  </si>
  <si>
    <t xml:space="preserve">4. Model selection (pick from the list)</t>
  </si>
  <si>
    <t xml:space="preserve">Strong model: conflicts, playbook, NDA check, brief, register</t>
  </si>
  <si>
    <t xml:space="preserve">As built (LLM_MODEL_STRONG).</t>
  </si>
  <si>
    <t xml:space="preserve">Fast model: extraction, notes, 'how it differs', seller checks</t>
  </si>
  <si>
    <t xml:space="preserve">As built (LLM_MODEL_FAST).</t>
  </si>
  <si>
    <t xml:space="preserve">Strong: input $/1M</t>
  </si>
  <si>
    <t xml:space="preserve">Strong: output $/1M</t>
  </si>
  <si>
    <t xml:space="preserve">Fast: input $/1M</t>
  </si>
  <si>
    <t xml:space="preserve">Fast: output $/1M</t>
  </si>
  <si>
    <t xml:space="preserve">Batch API discount (one-time register build only)</t>
  </si>
  <si>
    <t xml:space="preserve">Gemini's Batch API takes many requests as one job, returns results within ~24 h instead of seconds, and charges half price. It suits the one-time register build (nobody is waiting). Live reviews can't use it: Karandeep is waiting for the brief. Set to 0% to ignore.</t>
  </si>
  <si>
    <t xml:space="preserve">5. Platform: PRODUCTION ONLY ($0 for the capstone on Vercel's free Hobby plan)</t>
  </si>
  <si>
    <t xml:space="preserve">Hosting (Vercel Pro or similar)</t>
  </si>
  <si>
    <t xml:space="preserve">Assumption: 1 seat. Check vercel.com/pricing. Capstone: $0.</t>
  </si>
  <si>
    <t xml:space="preserve">Database with vector search (Postgres + vector extension)</t>
  </si>
  <si>
    <t xml:space="preserve">Assumption: a small managed plan. Prototype uses JSON files: $0.</t>
  </si>
  <si>
    <t xml:space="preserve">Sign-in with work accounts (off-the-shelf provider)</t>
  </si>
  <si>
    <t xml:space="preserve">Assumption: free tier covers &lt;10 users.</t>
  </si>
  <si>
    <t xml:space="preserve">Monitoring / logs</t>
  </si>
  <si>
    <t xml:space="preserve">Assumption: free tier.</t>
  </si>
  <si>
    <t xml:space="preserve">Total platform cost per month (production)</t>
  </si>
  <si>
    <t xml:space="preserve">Kept OUT of the AI-vs-manual comparison (the course template compares AI cost with human cost). Shown separately as the production view.</t>
  </si>
  <si>
    <t xml:space="preserve">6. People and money</t>
  </si>
  <si>
    <t xml:space="preserve">Value of one hour of Karandeep's time ($)</t>
  </si>
  <si>
    <t xml:space="preserve">Assumption (key): opportunity cost of the CEO's hour (selling and running AtliQ, not reading contracts at night). ≈ ₹5,100. Change it to test sensitivity.</t>
  </si>
  <si>
    <t xml:space="preserve">Seller hourly cost ($)</t>
  </si>
  <si>
    <t xml:space="preserve">Assumption: loaded cost of a seller's hour in India.</t>
  </si>
  <si>
    <t xml:space="preserve">INR per USD</t>
  </si>
  <si>
    <t xml:space="preserve">Assumption: exchange rate.</t>
  </si>
  <si>
    <t xml:space="preserve">Outside counsel fee per matter (₹)</t>
  </si>
  <si>
    <t xml:space="preserve">Dataset: Gulf Crown review quote ₹1.2L (counsel call, 25 Sep). CareBridge BAA review cost $3,800.</t>
  </si>
  <si>
    <t xml:space="preserve">Outside counsel fee per matter ($)</t>
  </si>
  <si>
    <t xml:space="preserve">Inference: what each AI call costs</t>
  </si>
  <si>
    <t xml:space="preserve">In a RAG chatbot, inference = answering one user query. Here the unit is ONE DEAL REVIEW: a fixed pipeline of model calls (our 'tool calls'). Steps marked Code are rule checks: $0.</t>
  </si>
  <si>
    <t xml:space="preserve">A. Cost per review, step by step</t>
  </si>
  <si>
    <t xml:space="preserve">Pipeline step</t>
  </si>
  <si>
    <t xml:space="preserve">Feature / FR</t>
  </si>
  <si>
    <t xml:space="preserve">Model tier</t>
  </si>
  <si>
    <t xml:space="preserve">Input tokens per call</t>
  </si>
  <si>
    <t xml:space="preserve">Output tokens per call (incl. thinking)</t>
  </si>
  <si>
    <t xml:space="preserve">Calls per MAIN agreement (incl. once-per-deal steps)</t>
  </si>
  <si>
    <t xml:space="preserve">Calls per SUPPORTING document</t>
  </si>
  <si>
    <t xml:space="preserve">Calls per NDA</t>
  </si>
  <si>
    <t xml:space="preserve">Cost per call ($)</t>
  </si>
  <si>
    <t xml:space="preserve">Cost per main agreement ($)</t>
  </si>
  <si>
    <t xml:space="preserve">Cost per supporting doc ($)</t>
  </si>
  <si>
    <t xml:space="preserve">Cost per NDA ($)</t>
  </si>
  <si>
    <t xml:space="preserve">What happens in this step / basis for tokens</t>
  </si>
  <si>
    <t xml:space="preserve">1. Intake: extract contract facts with source quotes</t>
  </si>
  <si>
    <t xml:space="preserve">F2 · FR-3, FR-4</t>
  </si>
  <si>
    <t xml:space="preserve">Fast</t>
  </si>
  <si>
    <t xml:space="preserve">MEASURED (Gemini flash-lite, 14 calls): ~2,800-3,900 in / ~900 out. Reads the whole document; returns facts with source quotes.</t>
  </si>
  <si>
    <t xml:space="preserve">1b. OCR for scanned files (only when the file is a scan)</t>
  </si>
  <si>
    <t xml:space="preserve">F2 · FR-3</t>
  </si>
  <si>
    <t xml:space="preserve">MEASURED (2 calls): ~1,200 in / ~900 out. Runs only for scans, so calls = share of scanned documents (Inputs).</t>
  </si>
  <si>
    <t xml:space="preserve">2. Gate rules (entity, law, payment, caps, annexes)</t>
  </si>
  <si>
    <t xml:space="preserve">F2 · FR-4</t>
  </si>
  <si>
    <t xml:space="preserve">Code</t>
  </si>
  <si>
    <t xml:space="preserve">Plain rules over the extracted facts: no model call.</t>
  </si>
  <si>
    <t xml:space="preserve">3. Conflict check against the register</t>
  </si>
  <si>
    <t xml:space="preserve">F3 · FR-6</t>
  </si>
  <si>
    <t xml:space="preserve">Strong</t>
  </si>
  <si>
    <t xml:space="preserve">MEASURED (5 calls): ~4,400-5,000 in / ~5,900-9,800 out. Code filters the register first; the model judges only the candidates. Most output is thinking.</t>
  </si>
  <si>
    <t xml:space="preserve">4. NDA mutuality checklist + covenant scan</t>
  </si>
  <si>
    <t xml:space="preserve">F4 · FR-5, FR-8</t>
  </si>
  <si>
    <t xml:space="preserve">MEASURED (2 calls): ~1,400 in / ~500-800 out. NDA fast lane, low thinking.</t>
  </si>
  <si>
    <t xml:space="preserve">5. Playbook &amp; fairness (mirror, flow-down)</t>
  </si>
  <si>
    <t xml:space="preserve">F4 · FR-7</t>
  </si>
  <si>
    <t xml:space="preserve">MEASURED (10 calls): ~5,200 in / ~5,900-13,400 out. Key clauses vs the playbook; the heaviest step.</t>
  </si>
  <si>
    <t xml:space="preserve">6. Similar past clauses: vector search</t>
  </si>
  <si>
    <t xml:space="preserve">F4 · FR-22</t>
  </si>
  <si>
    <t xml:space="preserve">Cosine similarity in code over the clause index. Query embeddings are on the Embeddings sheet.</t>
  </si>
  <si>
    <t xml:space="preserve">7. Similar past clauses: 'how it differs' lines</t>
  </si>
  <si>
    <t xml:space="preserve">MEASURED (3 calls): ~2,700-3,800 in / ~3,800-6,900 out. Runs on the strong model in the build; moving it to the fast model with low thinking is the easiest saving.</t>
  </si>
  <si>
    <t xml:space="preserve">8. Bundle: required documents per party</t>
  </si>
  <si>
    <t xml:space="preserve">F5 · FR-9</t>
  </si>
  <si>
    <t xml:space="preserve">Rules over the deal's documents (once per deal): no model call.</t>
  </si>
  <si>
    <t xml:space="preserve">9. Bundle: facts from meeting notes</t>
  </si>
  <si>
    <t xml:space="preserve">F5 · FR-10</t>
  </si>
  <si>
    <t xml:space="preserve">MEASURED (10 calls): ~200-700 in / ~1,000-1,700 out. Once per deal.</t>
  </si>
  <si>
    <t xml:space="preserve">10. Verdict</t>
  </si>
  <si>
    <t xml:space="preserve">F6</t>
  </si>
  <si>
    <t xml:space="preserve">Computed by code from all findings, once per deal: no model call.</t>
  </si>
  <si>
    <t xml:space="preserve">11. Brief wording from findings JSON</t>
  </si>
  <si>
    <t xml:space="preserve">F6 · FR-11</t>
  </si>
  <si>
    <t xml:space="preserve">MEASURED (21 calls): ~350-620 in / ~50-630 out. Once per deal; short headline and next action.</t>
  </si>
  <si>
    <t xml:space="preserve">Total per document</t>
  </si>
  <si>
    <t xml:space="preserve">G/H/I = number of model calls (code steps excluded). M/N/O = AI cost per document type.</t>
  </si>
  <si>
    <t xml:space="preserve">Cost per full-review DEAL (main + supporting docs)</t>
  </si>
  <si>
    <t xml:space="preserve">Main agreement + supporting documents per deal (Inputs).</t>
  </si>
  <si>
    <t xml:space="preserve">Tokens by model tier (used by the model comparison below)</t>
  </si>
  <si>
    <t xml:space="preserve">Document type</t>
  </si>
  <si>
    <t xml:space="preserve">Strong in</t>
  </si>
  <si>
    <t xml:space="preserve">Strong out</t>
  </si>
  <si>
    <t xml:space="preserve">Fast in</t>
  </si>
  <si>
    <t xml:space="preserve">Fast out</t>
  </si>
  <si>
    <t xml:space="preserve">Main agreement</t>
  </si>
  <si>
    <t xml:space="preserve">Supporting document</t>
  </si>
  <si>
    <t xml:space="preserve">NDA</t>
  </si>
  <si>
    <t xml:space="preserve">B. Register and seller workloads</t>
  </si>
  <si>
    <t xml:space="preserve">Workload</t>
  </si>
  <si>
    <t xml:space="preserve">Input tokens per unit</t>
  </si>
  <si>
    <t xml:space="preserve">Output tokens per unit (incl. thinking)</t>
  </si>
  <si>
    <t xml:space="preserve">Units per month</t>
  </si>
  <si>
    <t xml:space="preserve">Cost per unit ($)</t>
  </si>
  <si>
    <t xml:space="preserve">Cost per month ($)</t>
  </si>
  <si>
    <t xml:space="preserve">Basis</t>
  </si>
  <si>
    <t xml:space="preserve">Register update: extract a newly signed contract</t>
  </si>
  <si>
    <t xml:space="preserve">F1 · FR-1</t>
  </si>
  <si>
    <t xml:space="preserve">MEASURED on the prototype: 17 signed contracts → 44,557 in / 133,451 out tokens (avg 2,621 / 7,850). Output is mostly thinking: the model reasons about scope, affiliates and expiry.</t>
  </si>
  <si>
    <t xml:space="preserve">Seller deal check</t>
  </si>
  <si>
    <t xml:space="preserve">F7 · FR-13</t>
  </si>
  <si>
    <t xml:space="preserve">Form facts + filtered register entries + prompt; rate and region checks are code.</t>
  </si>
  <si>
    <t xml:space="preserve">C. Eval runs (quality checks)</t>
  </si>
  <si>
    <t xml:space="preserve">Cost of one full eval-set run (50 cases)</t>
  </si>
  <si>
    <t xml:space="preserve">11 main agreements + 1 supporting document + 3 NDAs, uncached, × repeats. Linking, access and register cases are code: $0.</t>
  </si>
  <si>
    <t xml:space="preserve">D. Monthly inference cost</t>
  </si>
  <si>
    <t xml:space="preserve">Line</t>
  </si>
  <si>
    <t xml:space="preserve">Units per month (today)</t>
  </si>
  <si>
    <t xml:space="preserve">How it's calculated</t>
  </si>
  <si>
    <t xml:space="preserve">Full-review deals (incl. re-check versions)</t>
  </si>
  <si>
    <t xml:space="preserve">Full-review deals × (1 + extra versions × share not cached) × cost per deal</t>
  </si>
  <si>
    <t xml:space="preserve">NDA fast-lane reviews (incl. re-checks)</t>
  </si>
  <si>
    <t xml:space="preserve">Same version factor</t>
  </si>
  <si>
    <t xml:space="preserve">Register updates (new signings)</t>
  </si>
  <si>
    <t xml:space="preserve">Seller deal checks</t>
  </si>
  <si>
    <t xml:space="preserve">Eval-set runs</t>
  </si>
  <si>
    <t xml:space="preserve">Doesn't grow with deal volume</t>
  </si>
  <si>
    <t xml:space="preserve">Total inference cost per month (today's volume)</t>
  </si>
  <si>
    <t xml:space="preserve">Total inference cost per month (growth scenario)</t>
  </si>
  <si>
    <t xml:space="preserve">Reviews, signings and seller checks scale with deal volume; eval runs stay the same.</t>
  </si>
  <si>
    <t xml:space="preserve">Average AI cost per deal, excl. eval runs (today)</t>
  </si>
  <si>
    <t xml:space="preserve">E. One-time: register build from all past signed contracts</t>
  </si>
  <si>
    <t xml:space="preserve">Item</t>
  </si>
  <si>
    <t xml:space="preserve">Input tokens</t>
  </si>
  <si>
    <t xml:space="preserve">Output tokens</t>
  </si>
  <si>
    <t xml:space="preserve">Cost at standard price ($)</t>
  </si>
  <si>
    <t xml:space="preserve">Cost with Batch API ($)</t>
  </si>
  <si>
    <t xml:space="preserve">Register build: 17 signed contracts (measured)</t>
  </si>
  <si>
    <t xml:space="preserve">data/runs/register-2026-10-04-18-34-55.json</t>
  </si>
  <si>
    <t xml:space="preserve">Same build at 500 contracts (scale check)</t>
  </si>
  <si>
    <t xml:space="preserve">Linear scale-up of the measured run.</t>
  </si>
  <si>
    <t xml:space="preserve">F. Model comparison (same pipeline, different models)</t>
  </si>
  <si>
    <t xml:space="preserve">Option</t>
  </si>
  <si>
    <t xml:space="preserve">Strong model</t>
  </si>
  <si>
    <t xml:space="preserve">Fast model</t>
  </si>
  <si>
    <t xml:space="preserve">Cost per full-review deal ($)</t>
  </si>
  <si>
    <t xml:space="preserve">Inference per month, today ($)</t>
  </si>
  <si>
    <t xml:space="preserve">Comment</t>
  </si>
  <si>
    <t xml:space="preserve">A. As built</t>
  </si>
  <si>
    <t xml:space="preserve">Current .env settings.</t>
  </si>
  <si>
    <t xml:space="preserve">B. Newer strong model (intro price)</t>
  </si>
  <si>
    <t xml:space="preserve">Cheaper until 31 Dec 2026; re-run evals before switching.</t>
  </si>
  <si>
    <t xml:space="preserve">C. Newer strong model (2027 price)</t>
  </si>
  <si>
    <t xml:space="preserve">Price after the introductory period.</t>
  </si>
  <si>
    <t xml:space="preserve">D. Budget everywhere</t>
  </si>
  <si>
    <t xml:space="preserve">Lowest cost; likely loses recall on conflicts. Only if evals pass.</t>
  </si>
  <si>
    <t xml:space="preserve">G. Calibration against the prototype (measured)</t>
  </si>
  <si>
    <t xml:space="preserve">Step tokens</t>
  </si>
  <si>
    <t xml:space="preserve">Every model step above uses averages of real Gemini calls logged in data/runs/calls-*.jsonl. Output is larger than first assumed because thinking is billed as output.</t>
  </si>
  <si>
    <t xml:space="preserve">Register build per signed contract</t>
  </si>
  <si>
    <t xml:space="preserve">2,621 in / 7,850 out tokens, ~45 s each (measured, complete run).</t>
  </si>
  <si>
    <t xml:space="preserve">Conflict candidates per contract</t>
  </si>
  <si>
    <t xml:space="preserve">0–2 register entries passed the code filter per contract (review log), e.g. Rheinwerk: CloudSpan + Northwind. The sheet assumes 3.</t>
  </si>
  <si>
    <t xml:space="preserve">First review run of all 13 deals</t>
  </si>
  <si>
    <t xml:space="preserve">46 calls · 127,475 in / 73,428 out ≈ 9,806 / 5,648 per deal. PARTIAL: several steps failed on free-tier rate limits (HTTP 429), so the real figure is higher.</t>
  </si>
  <si>
    <t xml:space="preserve">Action</t>
  </si>
  <si>
    <t xml:space="preserve">After the final Gemini batch (npm run eval:all), re-run npm run cost and refresh these averages if they moved.</t>
  </si>
  <si>
    <t xml:space="preserve">Embeddings: clause index for similar past clauses (FR-22)</t>
  </si>
  <si>
    <t xml:space="preserve">Unlike a RAG chatbot, we embed SIGNED CONTRACT CLAUSES only (no FAQs/tickets/PDFs), plus the key clauses of each document under review as queries. The conflict check uses structured filters, not embeddings.</t>
  </si>
  <si>
    <t xml:space="preserve">A. Clause index build (one-time)</t>
  </si>
  <si>
    <t xml:space="preserve">B. New signed contracts (monthly)</t>
  </si>
  <si>
    <t xml:space="preserve">Component</t>
  </si>
  <si>
    <t xml:space="preserve">Quantity</t>
  </si>
  <si>
    <t xml:space="preserve">Signed contracts indexed</t>
  </si>
  <si>
    <t xml:space="preserve">New contracts signed per month</t>
  </si>
  <si>
    <t xml:space="preserve">Clause chunks (measured)</t>
  </si>
  <si>
    <t xml:space="preserve">Tokens per signed contract</t>
  </si>
  <si>
    <t xml:space="preserve">Embedding tokens (measured)</t>
  </si>
  <si>
    <t xml:space="preserve">Tokens per month</t>
  </si>
  <si>
    <t xml:space="preserve">Tokens per clause</t>
  </si>
  <si>
    <t xml:space="preserve">Cost per 1M tokens ($)</t>
  </si>
  <si>
    <t xml:space="preserve">Monthly cost ($)</t>
  </si>
  <si>
    <t xml:space="preserve">Total build cost ($)</t>
  </si>
  <si>
    <t xml:space="preserve">C. Query embeddings (per document reviewed)</t>
  </si>
  <si>
    <t xml:space="preserve">D. Totals</t>
  </si>
  <si>
    <t xml:space="preserve">Cost ($)</t>
  </si>
  <si>
    <t xml:space="preserve">Key clauses embedded per document</t>
  </si>
  <si>
    <t xml:space="preserve">One-time: clause index build</t>
  </si>
  <si>
    <t xml:space="preserve">Monthly: new signed contracts</t>
  </si>
  <si>
    <t xml:space="preserve">Documents reviewed per month (main + supporting, incl. re-checks)</t>
  </si>
  <si>
    <t xml:space="preserve">Monthly: query embeddings</t>
  </si>
  <si>
    <t xml:space="preserve">Total embeddings per month</t>
  </si>
  <si>
    <t xml:space="preserve">Index build at 500 contracts (scale check)</t>
  </si>
  <si>
    <t xml:space="preserve">Source: data/runs/clause-index-2026-10-04-18-41-03.json (231 chunks, 16,613 tokens, gemini-embedding-001). NDAs skip the similar-clauses step, so they aren't embedded. Storage: JSON file in the prototype ($0); Postgres + vector extension in production (Inputs §5).</t>
  </si>
  <si>
    <t xml:space="preserve">Cost savings: what AtliQ saves by reviewing with Yours Legally</t>
  </si>
  <si>
    <t xml:space="preserve">The product doesn't replace an employee; it gives back the CEO's time, cuts seller chasing and avoids some counsel fees. Time is valued in money via the hourly rates on the Inputs sheet.</t>
  </si>
  <si>
    <t xml:space="preserve">A. Karandeep's review time today (manual)</t>
  </si>
  <si>
    <t xml:space="preserve">Source / assumption</t>
  </si>
  <si>
    <t xml:space="preserve">Full reviews per month</t>
  </si>
  <si>
    <t xml:space="preserve">Inputs sheet</t>
  </si>
  <si>
    <t xml:space="preserve">Hours per standard contract review today</t>
  </si>
  <si>
    <t xml:space="preserve">Client meeting 2: about 2 hours per standard contract.</t>
  </si>
  <si>
    <t xml:space="preserve">Hours per complex contract review today (2 to 3 passes)</t>
  </si>
  <si>
    <t xml:space="preserve">Client meeting 2: complex contracts take 2 to 3 passes, about 6 to 8 hours.</t>
  </si>
  <si>
    <t xml:space="preserve">Share of contracts that are complex</t>
  </si>
  <si>
    <t xml:space="preserve">Assumption: about 1 in 3 client or partner contracts needs several passes.</t>
  </si>
  <si>
    <t xml:space="preserve">Average hours per full review today</t>
  </si>
  <si>
    <t xml:space="preserve">Weighted average of standard and complex reviews.</t>
  </si>
  <si>
    <t xml:space="preserve">NDA reviews per month</t>
  </si>
  <si>
    <t xml:space="preserve">Hours per NDA today</t>
  </si>
  <si>
    <t xml:space="preserve">Assumption: reading + checking 'if mutual'. Today this is often skipped, which is the risk (FinServe).</t>
  </si>
  <si>
    <t xml:space="preserve">Revised drafts per month</t>
  </si>
  <si>
    <t xml:space="preserve">Inputs: brief versions per contract</t>
  </si>
  <si>
    <t xml:space="preserve">Hours per revised draft today</t>
  </si>
  <si>
    <t xml:space="preserve">Assumption: re-reading a changed contract from scratch.</t>
  </si>
  <si>
    <t xml:space="preserve">Karandeep's hours per month on contracts (today)</t>
  </si>
  <si>
    <t xml:space="preserve">B. Karandeep's review time with Yours Legally</t>
  </si>
  <si>
    <t xml:space="preserve">Minutes per full review (deciding from the brief)</t>
  </si>
  <si>
    <t xml:space="preserve">PRD §12 target: under 30 minutes of his time per contract (complex ones may need more; see sensitivity).</t>
  </si>
  <si>
    <t xml:space="preserve">Minutes per NDA brief</t>
  </si>
  <si>
    <t xml:space="preserve">Assumption: fast-lane brief read + decision.</t>
  </si>
  <si>
    <t xml:space="preserve">Minutes per re-check version</t>
  </si>
  <si>
    <t xml:space="preserve">Assumption: only New / Still open / Resolved items need attention (FR-17).</t>
  </si>
  <si>
    <t xml:space="preserve">Register entries to verify per month</t>
  </si>
  <si>
    <t xml:space="preserve">Measured: 57 entries from 17 signed contracts (~3.4 per contract).</t>
  </si>
  <si>
    <t xml:space="preserve">Minutes per register verification</t>
  </si>
  <si>
    <t xml:space="preserve">PRD §5: ~1 minute per entry, source clause shown alongside.</t>
  </si>
  <si>
    <t xml:space="preserve">Karandeep's hours per month with Yours Legally</t>
  </si>
  <si>
    <t xml:space="preserve">C. Karandeep's time saved</t>
  </si>
  <si>
    <t xml:space="preserve">Hours saved per month</t>
  </si>
  <si>
    <t xml:space="preserve">A − B</t>
  </si>
  <si>
    <t xml:space="preserve">Value of one hour ($)</t>
  </si>
  <si>
    <t xml:space="preserve">Inputs (key assumption)</t>
  </si>
  <si>
    <t xml:space="preserve">Value of Karandeep's time saved per month ($)</t>
  </si>
  <si>
    <t xml:space="preserve">D. Sellers' chasing and waiting time</t>
  </si>
  <si>
    <t xml:space="preserve">Deals per month</t>
  </si>
  <si>
    <t xml:space="preserve">Inputs</t>
  </si>
  <si>
    <t xml:space="preserve">Seller hours per deal chasing status today</t>
  </si>
  <si>
    <t xml:space="preserve">Assumption: 22 Sep, three sellers chased Karandeep the same morning; no status anywhere.</t>
  </si>
  <si>
    <t xml:space="preserve">Seller hours per deal with the queue and heads-up</t>
  </si>
  <si>
    <t xml:space="preserve">Assumption: status, due-in and 'waiting for' are visible (FR-14).</t>
  </si>
  <si>
    <t xml:space="preserve">Seller time cost today ($)</t>
  </si>
  <si>
    <t xml:space="preserve">Seller time cost with Yours Legally ($)</t>
  </si>
  <si>
    <t xml:space="preserve">Value of seller time saved per month ($)</t>
  </si>
  <si>
    <t xml:space="preserve">E. Outside counsel</t>
  </si>
  <si>
    <t xml:space="preserve">Counsel matters per month today</t>
  </si>
  <si>
    <t xml:space="preserve">Assumption: about one every two months (Gulf Crown ₹1.2L; CareBridge $3,800).</t>
  </si>
  <si>
    <t xml:space="preserve">Fee per matter ($)</t>
  </si>
  <si>
    <t xml:space="preserve">Inputs: ₹1.2L ÷ exchange rate</t>
  </si>
  <si>
    <t xml:space="preserve">Fewer escalations (only tier-4 questions go to counsel)</t>
  </si>
  <si>
    <t xml:space="preserve">Assumption: escalation tiers resolve most items at Karandeep / business-fix level (PRD §5).</t>
  </si>
  <si>
    <t xml:space="preserve">Lower fee per matter thanks to a complete counsel pack</t>
  </si>
  <si>
    <t xml:space="preserve">Assumption: counsel time spent chasing documents drops (Gulf Crown pack was incomplete).</t>
  </si>
  <si>
    <t xml:space="preserve">Counsel cost per month today ($)</t>
  </si>
  <si>
    <t xml:space="preserve">Counsel cost per month with Yours Legally ($)</t>
  </si>
  <si>
    <t xml:space="preserve">Counsel savings per month ($)</t>
  </si>
  <si>
    <t xml:space="preserve">F. Monthly comparison (base case)</t>
  </si>
  <si>
    <t xml:space="preserve">Manual: Karandeep's time today ($)</t>
  </si>
  <si>
    <t xml:space="preserve">A × hourly value</t>
  </si>
  <si>
    <t xml:space="preserve">Manual: seller chasing today ($)</t>
  </si>
  <si>
    <t xml:space="preserve">D</t>
  </si>
  <si>
    <t xml:space="preserve">Manual: counsel today ($)</t>
  </si>
  <si>
    <t xml:space="preserve">E</t>
  </si>
  <si>
    <t xml:space="preserve">Total monthly cost of manual review ($)</t>
  </si>
  <si>
    <t xml:space="preserve">With Yours Legally: Karandeep's remaining time ($)</t>
  </si>
  <si>
    <t xml:space="preserve">B × hourly value</t>
  </si>
  <si>
    <t xml:space="preserve">With Yours Legally: seller time ($)</t>
  </si>
  <si>
    <t xml:space="preserve">With Yours Legally: counsel ($)</t>
  </si>
  <si>
    <t xml:space="preserve">Inference ($)</t>
  </si>
  <si>
    <t xml:space="preserve">Inference sheet</t>
  </si>
  <si>
    <t xml:space="preserve">Embeddings ($)</t>
  </si>
  <si>
    <t xml:space="preserve">Embeddings sheet</t>
  </si>
  <si>
    <t xml:space="preserve">Total monthly cost with Yours Legally ($)</t>
  </si>
  <si>
    <t xml:space="preserve">Same scope as the course template: human cost vs AI cost. Platform is shown below as the production view.</t>
  </si>
  <si>
    <t xml:space="preserve">Total savings per month ($)</t>
  </si>
  <si>
    <t xml:space="preserve">% savings</t>
  </si>
  <si>
    <t xml:space="preserve">AI running cost per month (inference + embeddings)</t>
  </si>
  <si>
    <t xml:space="preserve">F2. Production view (adds hosting, database and sign-in; $0 for the capstone)</t>
  </si>
  <si>
    <t xml:space="preserve">Platform cost per month (production)</t>
  </si>
  <si>
    <t xml:space="preserve">Inputs §5</t>
  </si>
  <si>
    <t xml:space="preserve">Total running cost per month (AI + platform)</t>
  </si>
  <si>
    <t xml:space="preserve">Savings per month after platform costs</t>
  </si>
  <si>
    <t xml:space="preserve">Return per $1 of total running cost</t>
  </si>
  <si>
    <t xml:space="preserve">Not modelled: engineering time to maintain prompts, evals and the register. In real projects this often costs more than the AI itself (deck talking point).</t>
  </si>
  <si>
    <t xml:space="preserve">G. Risk and revenue protected (expected value; NOT in the base case)</t>
  </si>
  <si>
    <t xml:space="preserve">Cost of one Brightwater-type incident ($)</t>
  </si>
  <si>
    <t xml:space="preserve">Dataset: $9k settlement + $14.2k legal + ~2 weeks (80 h) of senior time.</t>
  </si>
  <si>
    <t xml:space="preserve">Such incidents per year today</t>
  </si>
  <si>
    <t xml:space="preserve">Assumption: one in the last 12 months (Brightwater).</t>
  </si>
  <si>
    <t xml:space="preserve">Reduction with Yours Legally</t>
  </si>
  <si>
    <t xml:space="preserve">Assumption: conflict + playbook checks catch most; not all.</t>
  </si>
  <si>
    <t xml:space="preserve">Expected incident cost avoided per month ($)</t>
  </si>
  <si>
    <t xml:space="preserve">Deals delayed by the review queue per year</t>
  </si>
  <si>
    <t xml:space="preserve">Dataset: ShopSwift SOW sat 9 days; client budget moved a quarter.</t>
  </si>
  <si>
    <t xml:space="preserve">Value of such a deal ($)</t>
  </si>
  <si>
    <t xml:space="preserve">Dataset: ShopSwift $55k (tracker C-019).</t>
  </si>
  <si>
    <t xml:space="preserve">Gross margin on services</t>
  </si>
  <si>
    <t xml:space="preserve">Assumption.</t>
  </si>
  <si>
    <t xml:space="preserve">Chance a queue delay turns into a lost deal</t>
  </si>
  <si>
    <t xml:space="preserve">Expected margin protected per month ($)</t>
  </si>
  <si>
    <t xml:space="preserve">Expected value protected per month ($)</t>
  </si>
  <si>
    <t xml:space="preserve">Savings per month incl. risk and revenue protected ($)</t>
  </si>
  <si>
    <t xml:space="preserve">Not counted: $230k of live deals blocked by Al Noor and the Harrington PHI exposure; those are decision quality, not a monthly saving.</t>
  </si>
  <si>
    <t xml:space="preserve">H. One-time setup and payback</t>
  </si>
  <si>
    <t xml:space="preserve">Register backfill: AI cost ($)</t>
  </si>
  <si>
    <t xml:space="preserve">Inference sheet, section D (with batch discount)</t>
  </si>
  <si>
    <t xml:space="preserve">Clause index backfill: embeddings ($)</t>
  </si>
  <si>
    <t xml:space="preserve">Karandeep: verify 57 entries + tag past decisions (hours)</t>
  </si>
  <si>
    <t xml:space="preserve">PRD §14 Stage 2: ~1 min per entry + ~30 min tagging session.</t>
  </si>
  <si>
    <t xml:space="preserve">Value of that time ($)</t>
  </si>
  <si>
    <t xml:space="preserve">Prototype build cost ($)</t>
  </si>
  <si>
    <t xml:space="preserve">Built by the PM with AI coding tools on free tiers; set a value if you want to include build effort.</t>
  </si>
  <si>
    <t xml:space="preserve">Total one-time cost ($)</t>
  </si>
  <si>
    <t xml:space="preserve">Payback (months, base case)</t>
  </si>
  <si>
    <t xml:space="preserve">How this estimate works</t>
  </si>
  <si>
    <t xml:space="preserve">Why this differs from the RAG template</t>
  </si>
  <si>
    <t xml:space="preserve">The template prices a chatbot: one model call per user query, plus embeddings for FAQs, tickets and PDFs. Yours Legally is a review pipeline: each contract triggers a fixed sequence of steps. AI is used only to extract, judge and word; rule checks and the verdict are code ($0). So the unit is 'one contract review', not 'one query'.</t>
  </si>
  <si>
    <t xml:space="preserve">Do we need inference?</t>
  </si>
  <si>
    <t xml:space="preserve">Yes. Inference is every model call: extracting facts, the conflict reasoning, the playbook check, the NDA check, 'how it differs' lines, notes facts, the brief wording, register extraction and seller checks. The template's 'Inference' sheet becomes our per-step table.</t>
  </si>
  <si>
    <t xml:space="preserve">'Tool call' cost</t>
  </si>
  <si>
    <t xml:space="preserve">Each pipeline step that calls the model costs (input tokens × input price) + (output tokens × output price). Gemini bills THINKING tokens as output, which is why output dominates: register extraction measured ~3 output tokens per input token. Code steps (gate rules, vector search, required documents, verdict) cost nothing per call.</t>
  </si>
  <si>
    <t xml:space="preserve">Batch API</t>
  </si>
  <si>
    <t xml:space="preserve">Gemini processes a batch of requests as one job within ~24 h at 50% of the price. Used only for the one-time register build, where nobody waits.</t>
  </si>
  <si>
    <t xml:space="preserve">Embeddings</t>
  </si>
  <si>
    <t xml:space="preserve">Only the signed-contract clause index (one-time, then each new signing) and ~10 key clauses per review as queries. Measured: 16,613 tokens for the whole index, i.e. well under one cent.</t>
  </si>
  <si>
    <t xml:space="preserve">Cost savings = time savings</t>
  </si>
  <si>
    <t xml:space="preserve">We don't replace a salaried agent. We value hours given back: Karandeep's review hours × the value of his hour, sellers' chasing hours × their hourly cost, and fewer/cheaper counsel matters. Risk avoided (Brightwater-type incidents) and revenue protected (queue-lost deals) are shown separately as expected values, so the base case stays conservative.</t>
  </si>
  <si>
    <t xml:space="preserve">Maintenance (not modelled)</t>
  </si>
  <si>
    <t xml:space="preserve">Someone must maintain prompts, evals and the register. In real projects this engineering time often costs more than the AI. Mention it in the deck as a known cost.</t>
  </si>
  <si>
    <t xml:space="preserve">Biggest levers to sanity-check</t>
  </si>
  <si>
    <t xml:space="preserve">1) Value of Karandeep's hour. 2) Hours per full review today (3–4 h from the dataset). 3) Counsel matters per month. Model choice barely moves the total: AI cost is cents per contract; hosting is the largest running cost.</t>
  </si>
  <si>
    <t xml:space="preserve">Measured inputs</t>
  </si>
  <si>
    <t xml:space="preserve">data/runs/register-2026-10-04-18-34-55.json (17 docs, 44,557 in / 133,451 out); data/runs/clause-index-2026-10-04-18-41-03.json (231 chunks, 16,613 tokens); data/runs/review-2026-10-05-04-06-35.json (partial: 429 rate limits).</t>
  </si>
  <si>
    <t xml:space="preserve">Prices</t>
  </si>
  <si>
    <t xml:space="preserve">Gemini API pricing page (ai.google.dev/gemini-api/docs/pricing), checked 5 Oct 2026: 3.5 Flash $1.50/$9.00; 3.5 Flash-Lite $0.30/$2.50; 3.8 Flash $0.75/$3.75 to 31 Dec 2026 then $1.50/$7.50; 3.1 Flash-Lite $0.25/$1.50; 3 Flash Preview $0.50/$3.00; Batch API 50% off. gemini-embedding-001 $0.15 per 1M input tokens (Google Developers Blog, Gemini Embedding GA).</t>
  </si>
  <si>
    <t xml:space="preserve">Client and dataset facts used</t>
  </si>
  <si>
    <t xml:space="preserve">Client interview: 3-4 contracts + 4-5 NDAs a month, about 2 hours per standard review and 6-8 hours for complex ones, real contracts 10-15 pages, turnaround 1 week to 1 month. Dataset: Brightwater $9k + $14.2k + ~2 weeks; counsel ₹1.2L for Gulf Crown; CareBridge BAA review $3,800; ShopSwift $55k waited 9 days; 57 register entries from 17 signed contracts.</t>
  </si>
  <si>
    <t xml:space="preserve">Free tier vs paid</t>
  </si>
  <si>
    <t xml:space="preserve">The prototype runs on Gemini's free tier, which rate-limits per minute and per day (the build pause). Production would use the paid tier; costs here use paid prices.</t>
  </si>
</sst>
</file>

<file path=xl/styles.xml><?xml version="1.0" encoding="utf-8"?>
<styleSheet xmlns="http://schemas.openxmlformats.org/spreadsheetml/2006/main">
  <numFmts count="10">
    <numFmt numFmtId="164" formatCode="General"/>
    <numFmt numFmtId="165" formatCode="[$$-409]#,##0.0000"/>
    <numFmt numFmtId="166" formatCode="[$$-409]#,##0.00"/>
    <numFmt numFmtId="167" formatCode="#,##0.00"/>
    <numFmt numFmtId="168" formatCode="0%"/>
    <numFmt numFmtId="169" formatCode="0\x"/>
    <numFmt numFmtId="170" formatCode="0.0\x"/>
    <numFmt numFmtId="171" formatCode="0.00"/>
    <numFmt numFmtId="172" formatCode="#,##0"/>
    <numFmt numFmtId="173" formatCode="[$$-409]#,##0"/>
  </numFmts>
  <fonts count="11">
    <font>
      <sz val="11"/>
      <color theme="1"/>
      <name val="Calibri"/>
      <family val="2"/>
      <charset val="1"/>
    </font>
    <font>
      <sz val="10"/>
      <name val="Arial"/>
      <family val="0"/>
    </font>
    <font>
      <sz val="10"/>
      <name val="Arial"/>
      <family val="0"/>
    </font>
    <font>
      <sz val="10"/>
      <name val="Arial"/>
      <family val="0"/>
    </font>
    <font>
      <b val="true"/>
      <sz val="16"/>
      <name val="Calibri"/>
      <family val="0"/>
      <charset val="1"/>
    </font>
    <font>
      <i val="true"/>
      <sz val="11"/>
      <name val="Calibri"/>
      <family val="0"/>
      <charset val="1"/>
    </font>
    <font>
      <b val="true"/>
      <sz val="13"/>
      <color rgb="FFFFFFFF"/>
      <name val="Calibri"/>
      <family val="0"/>
      <charset val="1"/>
    </font>
    <font>
      <b val="true"/>
      <sz val="12"/>
      <name val="Calibri"/>
      <family val="0"/>
      <charset val="1"/>
    </font>
    <font>
      <sz val="12"/>
      <name val="Calibri"/>
      <family val="0"/>
      <charset val="1"/>
    </font>
    <font>
      <sz val="12"/>
      <color rgb="FF008000"/>
      <name val="Calibri"/>
      <family val="0"/>
      <charset val="1"/>
    </font>
    <font>
      <sz val="12"/>
      <color rgb="FF0000FF"/>
      <name val="Calibri"/>
      <family val="0"/>
      <charset val="1"/>
    </font>
  </fonts>
  <fills count="6">
    <fill>
      <patternFill patternType="none"/>
    </fill>
    <fill>
      <patternFill patternType="gray125"/>
    </fill>
    <fill>
      <patternFill patternType="solid">
        <fgColor rgb="FF4472C4"/>
        <bgColor rgb="FF666699"/>
      </patternFill>
    </fill>
    <fill>
      <patternFill patternType="solid">
        <fgColor rgb="FFD9E1F2"/>
        <bgColor rgb="FFE2EFDA"/>
      </patternFill>
    </fill>
    <fill>
      <patternFill patternType="solid">
        <fgColor rgb="FFFFF2CC"/>
        <bgColor rgb="FFE2EFDA"/>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6" fontId="9" fillId="4" borderId="1" xfId="0" applyFont="true" applyBorder="tru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general" vertical="bottom" textRotation="0" wrapText="false" indent="0" shrinkToFit="false"/>
      <protection locked="true" hidden="false"/>
    </xf>
    <xf numFmtId="172" fontId="10" fillId="4" borderId="1"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67" fontId="10" fillId="4"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72" fontId="10"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6" fontId="8" fillId="5" borderId="1" xfId="0" applyFont="true" applyBorder="true" applyAlignment="true" applyProtection="false">
      <alignment horizontal="general" vertical="bottom" textRotation="0" wrapText="false" indent="0" shrinkToFit="false"/>
      <protection locked="true" hidden="false"/>
    </xf>
    <xf numFmtId="173" fontId="10" fillId="4" borderId="1" xfId="0" applyFont="true" applyBorder="true" applyAlignment="true" applyProtection="false">
      <alignment horizontal="general" vertical="bottom" textRotation="0" wrapText="false" indent="0" shrinkToFit="false"/>
      <protection locked="true" hidden="false"/>
    </xf>
    <xf numFmtId="173" fontId="10" fillId="0" borderId="1" xfId="0" applyFont="true" applyBorder="true" applyAlignment="true" applyProtection="false">
      <alignment horizontal="general" vertical="bottom" textRotation="0" wrapText="false" indent="0" shrinkToFit="false"/>
      <protection locked="true" hidden="false"/>
    </xf>
    <xf numFmtId="173" fontId="8"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72" fontId="9"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72" fontId="8" fillId="5" borderId="1" xfId="0" applyFont="true" applyBorder="true" applyAlignment="true" applyProtection="false">
      <alignment horizontal="general" vertical="bottom" textRotation="0" wrapText="false" indent="0" shrinkToFit="false"/>
      <protection locked="true" hidden="false"/>
    </xf>
    <xf numFmtId="165" fontId="8" fillId="5"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72" fontId="8" fillId="0"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7" fontId="8" fillId="5"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73" fontId="9" fillId="0" borderId="1" xfId="0" applyFont="true" applyBorder="true" applyAlignment="true" applyProtection="false">
      <alignment horizontal="general" vertical="bottom" textRotation="0" wrapText="false" indent="0" shrinkToFit="false"/>
      <protection locked="true" hidden="false"/>
    </xf>
    <xf numFmtId="168" fontId="8" fillId="5" borderId="1" xfId="0" applyFont="tru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general" vertical="bottom" textRotation="0" wrapText="false" indent="0" shrinkToFit="false"/>
      <protection locked="true" hidden="false"/>
    </xf>
    <xf numFmtId="169" fontId="8" fillId="4" borderId="1" xfId="0" applyFont="true" applyBorder="true" applyAlignment="true" applyProtection="false">
      <alignment horizontal="general" vertical="bottom" textRotation="0" wrapText="false" indent="0" shrinkToFit="false"/>
      <protection locked="true" hidden="false"/>
    </xf>
    <xf numFmtId="170" fontId="8" fillId="4" borderId="1" xfId="0" applyFont="true" applyBorder="true" applyAlignment="true" applyProtection="false">
      <alignment horizontal="general" vertical="bottom" textRotation="0" wrapText="false" indent="0" shrinkToFit="false"/>
      <protection locked="true" hidden="false"/>
    </xf>
    <xf numFmtId="171" fontId="8" fillId="5"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8"/>
    <col collapsed="false" customWidth="true" hidden="false" outlineLevel="0" max="3" min="3" style="1" width="20"/>
    <col collapsed="false" customWidth="true" hidden="false" outlineLevel="0" max="4" min="4" style="1" width="70"/>
  </cols>
  <sheetData>
    <row r="2" customFormat="false" ht="19.5" hidden="false" customHeight="true" outlineLevel="0" collapsed="false">
      <c r="B2" s="2" t="s">
        <v>0</v>
      </c>
    </row>
    <row r="3" customFormat="false" ht="15" hidden="false" customHeight="true" outlineLevel="0" collapsed="false">
      <c r="B3" s="3" t="s">
        <v>1</v>
      </c>
    </row>
    <row r="5" customFormat="false" ht="15.75" hidden="false" customHeight="true" outlineLevel="0" collapsed="false">
      <c r="B5" s="4" t="s">
        <v>2</v>
      </c>
      <c r="C5" s="4"/>
      <c r="D5" s="4"/>
    </row>
    <row r="6" customFormat="false" ht="15" hidden="false" customHeight="true" outlineLevel="0" collapsed="false">
      <c r="B6" s="5" t="s">
        <v>3</v>
      </c>
      <c r="C6" s="5" t="s">
        <v>4</v>
      </c>
      <c r="D6" s="5" t="s">
        <v>5</v>
      </c>
    </row>
    <row r="7" customFormat="false" ht="15" hidden="false" customHeight="true" outlineLevel="0" collapsed="false">
      <c r="B7" s="6" t="s">
        <v>6</v>
      </c>
      <c r="C7" s="7" t="n">
        <f aca="false">Inference!$M$45</f>
        <v>0.363632025</v>
      </c>
      <c r="D7" s="8" t="s">
        <v>7</v>
      </c>
    </row>
    <row r="8" customFormat="false" ht="15" hidden="false" customHeight="true" outlineLevel="0" collapsed="false">
      <c r="B8" s="6" t="s">
        <v>8</v>
      </c>
      <c r="C8" s="7" t="n">
        <f aca="false">Inference!$M$20</f>
        <v>0.503937</v>
      </c>
      <c r="D8" s="8" t="s">
        <v>9</v>
      </c>
    </row>
    <row r="9" customFormat="false" ht="15" hidden="false" customHeight="true" outlineLevel="0" collapsed="false">
      <c r="B9" s="6" t="s">
        <v>10</v>
      </c>
      <c r="C9" s="7" t="n">
        <f aca="false">Inference!$O$19</f>
        <v>0.022881</v>
      </c>
      <c r="D9" s="8"/>
    </row>
    <row r="10" customFormat="false" ht="15" hidden="false" customHeight="true" outlineLevel="0" collapsed="false">
      <c r="B10" s="6" t="s">
        <v>11</v>
      </c>
      <c r="C10" s="9" t="n">
        <f aca="false">Inference!$M$43</f>
        <v>15.6426162</v>
      </c>
      <c r="D10" s="8"/>
    </row>
    <row r="11" customFormat="false" ht="15" hidden="false" customHeight="true" outlineLevel="0" collapsed="false">
      <c r="B11" s="6" t="s">
        <v>12</v>
      </c>
      <c r="C11" s="7" t="n">
        <f aca="false">Embeddings!$F$20</f>
        <v>0.00186118903743316</v>
      </c>
      <c r="D11" s="8" t="s">
        <v>13</v>
      </c>
    </row>
    <row r="12" customFormat="false" ht="15" hidden="false" customHeight="true" outlineLevel="0" collapsed="false">
      <c r="B12" s="6" t="s">
        <v>14</v>
      </c>
      <c r="C12" s="9" t="n">
        <f aca="false">'Cost Savings'!$C$68</f>
        <v>15.6444773890374</v>
      </c>
      <c r="D12" s="8" t="s">
        <v>15</v>
      </c>
    </row>
    <row r="13" customFormat="false" ht="15" hidden="false" customHeight="true" outlineLevel="0" collapsed="false">
      <c r="B13" s="6" t="s">
        <v>16</v>
      </c>
      <c r="C13" s="9" t="n">
        <f aca="false">Inputs!$C$54</f>
        <v>39</v>
      </c>
      <c r="D13" s="8" t="s">
        <v>17</v>
      </c>
    </row>
    <row r="14" customFormat="false" ht="15" hidden="false" customHeight="true" outlineLevel="0" collapsed="false">
      <c r="B14" s="6" t="s">
        <v>18</v>
      </c>
      <c r="C14" s="9" t="n">
        <f aca="false">'Cost Savings'!$C$73</f>
        <v>54.6444773890374</v>
      </c>
      <c r="D14" s="8"/>
    </row>
    <row r="15" customFormat="false" ht="15" hidden="false" customHeight="true" outlineLevel="0" collapsed="false">
      <c r="B15" s="6" t="s">
        <v>19</v>
      </c>
      <c r="C15" s="9" t="n">
        <f aca="false">Inference!$M$44</f>
        <v>20.0062005</v>
      </c>
      <c r="D15" s="8" t="s">
        <v>20</v>
      </c>
    </row>
    <row r="17" customFormat="false" ht="15.75" hidden="false" customHeight="true" outlineLevel="0" collapsed="false">
      <c r="B17" s="4" t="s">
        <v>21</v>
      </c>
      <c r="C17" s="4"/>
      <c r="D17" s="4"/>
    </row>
    <row r="18" customFormat="false" ht="15" hidden="false" customHeight="true" outlineLevel="0" collapsed="false">
      <c r="B18" s="5" t="s">
        <v>3</v>
      </c>
      <c r="C18" s="5" t="s">
        <v>4</v>
      </c>
      <c r="D18" s="5" t="s">
        <v>5</v>
      </c>
    </row>
    <row r="19" customFormat="false" ht="15" hidden="false" customHeight="true" outlineLevel="0" collapsed="false">
      <c r="B19" s="6" t="s">
        <v>22</v>
      </c>
      <c r="C19" s="10" t="n">
        <f aca="false">'Cost Savings'!$C$16</f>
        <v>18.5</v>
      </c>
      <c r="D19" s="8" t="s">
        <v>23</v>
      </c>
    </row>
    <row r="20" customFormat="false" ht="15" hidden="false" customHeight="true" outlineLevel="0" collapsed="false">
      <c r="B20" s="6" t="s">
        <v>24</v>
      </c>
      <c r="C20" s="10" t="n">
        <f aca="false">'Cost Savings'!$C$25</f>
        <v>3.12696078431373</v>
      </c>
      <c r="D20" s="8" t="s">
        <v>23</v>
      </c>
    </row>
    <row r="21" customFormat="false" ht="15" hidden="false" customHeight="true" outlineLevel="0" collapsed="false">
      <c r="B21" s="6" t="s">
        <v>25</v>
      </c>
      <c r="C21" s="11" t="n">
        <f aca="false">'Cost Savings'!$C$30</f>
        <v>0.830975092739799</v>
      </c>
      <c r="D21" s="8"/>
    </row>
    <row r="22" customFormat="false" ht="15" hidden="false" customHeight="true" outlineLevel="0" collapsed="false">
      <c r="B22" s="6" t="s">
        <v>26</v>
      </c>
      <c r="C22" s="12" t="n">
        <f aca="false">'Cost Savings'!$C$66</f>
        <v>1336.14964025802</v>
      </c>
      <c r="D22" s="8" t="s">
        <v>27</v>
      </c>
    </row>
    <row r="23" customFormat="false" ht="15" hidden="false" customHeight="true" outlineLevel="0" collapsed="false">
      <c r="B23" s="6" t="s">
        <v>28</v>
      </c>
      <c r="C23" s="11" t="n">
        <f aca="false">'Cost Savings'!$C$67</f>
        <v>0.649915418723501</v>
      </c>
      <c r="D23" s="8"/>
    </row>
    <row r="24" customFormat="false" ht="15" hidden="false" customHeight="true" outlineLevel="0" collapsed="false">
      <c r="B24" s="6" t="s">
        <v>29</v>
      </c>
      <c r="C24" s="13" t="n">
        <f aca="false">'Cost Savings'!$C$69</f>
        <v>85.4071124928917</v>
      </c>
      <c r="D24" s="8"/>
    </row>
    <row r="25" customFormat="false" ht="15" hidden="false" customHeight="true" outlineLevel="0" collapsed="false">
      <c r="B25" s="6" t="s">
        <v>30</v>
      </c>
      <c r="C25" s="9" t="n">
        <f aca="false">'Cost Savings'!$C$74</f>
        <v>1297.14964025802</v>
      </c>
      <c r="D25" s="8"/>
    </row>
    <row r="26" customFormat="false" ht="15" hidden="false" customHeight="true" outlineLevel="0" collapsed="false">
      <c r="B26" s="6" t="s">
        <v>31</v>
      </c>
      <c r="C26" s="14" t="n">
        <f aca="false">'Cost Savings'!$C$75</f>
        <v>24.4516866863855</v>
      </c>
      <c r="D26" s="8"/>
    </row>
    <row r="27" customFormat="false" ht="15" hidden="false" customHeight="true" outlineLevel="0" collapsed="false">
      <c r="B27" s="6" t="s">
        <v>32</v>
      </c>
      <c r="C27" s="9" t="n">
        <f aca="false">'Cost Savings'!$C$89</f>
        <v>3773.64964025802</v>
      </c>
      <c r="D27" s="8" t="s">
        <v>33</v>
      </c>
    </row>
    <row r="28" customFormat="false" ht="15" hidden="false" customHeight="true" outlineLevel="0" collapsed="false">
      <c r="B28" s="6" t="s">
        <v>34</v>
      </c>
      <c r="C28" s="9" t="n">
        <f aca="false">'Cost Savings'!$C$98</f>
        <v>87.6364392</v>
      </c>
      <c r="D28" s="8" t="s">
        <v>35</v>
      </c>
    </row>
    <row r="29" customFormat="false" ht="15" hidden="false" customHeight="true" outlineLevel="0" collapsed="false">
      <c r="B29" s="6" t="s">
        <v>36</v>
      </c>
      <c r="C29" s="15" t="n">
        <f aca="false">'Cost Savings'!$C$99</f>
        <v>0.0655887907757672</v>
      </c>
      <c r="D29" s="8"/>
    </row>
  </sheetData>
  <mergeCells count="2">
    <mergeCell ref="B5:D5"/>
    <mergeCell ref="B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0"/>
    <col collapsed="false" customWidth="true" hidden="false" outlineLevel="0" max="3" min="3" style="1" width="20"/>
    <col collapsed="false" customWidth="true" hidden="false" outlineLevel="0" max="4" min="4" style="1" width="72"/>
    <col collapsed="false" customWidth="true" hidden="false" outlineLevel="0" max="5" min="5" style="1" width="50"/>
  </cols>
  <sheetData>
    <row r="2" customFormat="false" ht="19.5" hidden="false" customHeight="true" outlineLevel="0" collapsed="false">
      <c r="B2" s="2" t="s">
        <v>37</v>
      </c>
    </row>
    <row r="3" customFormat="false" ht="15" hidden="false" customHeight="true" outlineLevel="0" collapsed="false">
      <c r="B3" s="3" t="s">
        <v>38</v>
      </c>
    </row>
    <row r="5" customFormat="false" ht="15.75" hidden="false" customHeight="true" outlineLevel="0" collapsed="false">
      <c r="B5" s="4" t="s">
        <v>39</v>
      </c>
      <c r="C5" s="4"/>
      <c r="D5" s="4"/>
    </row>
    <row r="6" customFormat="false" ht="31.5" hidden="false" customHeight="true" outlineLevel="0" collapsed="false">
      <c r="B6" s="8" t="s">
        <v>40</v>
      </c>
      <c r="C6" s="16" t="n">
        <v>8</v>
      </c>
      <c r="D6" s="8" t="s">
        <v>41</v>
      </c>
    </row>
    <row r="7" customFormat="false" ht="31.5" hidden="false" customHeight="true" outlineLevel="0" collapsed="false">
      <c r="B7" s="8" t="s">
        <v>42</v>
      </c>
      <c r="C7" s="17" t="n">
        <v>0.5625</v>
      </c>
      <c r="D7" s="8" t="s">
        <v>43</v>
      </c>
    </row>
    <row r="8" customFormat="false" ht="31.5" hidden="false" customHeight="true" outlineLevel="0" collapsed="false">
      <c r="B8" s="8" t="s">
        <v>44</v>
      </c>
      <c r="C8" s="18" t="n">
        <v>3</v>
      </c>
      <c r="D8" s="8" t="s">
        <v>45</v>
      </c>
    </row>
    <row r="9" customFormat="false" ht="31.5" hidden="false" customHeight="true" outlineLevel="0" collapsed="false">
      <c r="B9" s="8" t="s">
        <v>46</v>
      </c>
      <c r="C9" s="19" t="n">
        <f aca="false">C6*(1-C7)</f>
        <v>3.5</v>
      </c>
      <c r="D9" s="8" t="s">
        <v>47</v>
      </c>
    </row>
    <row r="10" customFormat="false" ht="31.5" hidden="false" customHeight="true" outlineLevel="0" collapsed="false">
      <c r="B10" s="8" t="s">
        <v>48</v>
      </c>
      <c r="C10" s="19" t="n">
        <f aca="false">C6*C7</f>
        <v>4.5</v>
      </c>
      <c r="D10" s="8" t="s">
        <v>47</v>
      </c>
    </row>
    <row r="11" customFormat="false" ht="31.5" hidden="false" customHeight="true" outlineLevel="0" collapsed="false">
      <c r="B11" s="8" t="s">
        <v>49</v>
      </c>
      <c r="C11" s="18" t="n">
        <v>1</v>
      </c>
      <c r="D11" s="8" t="s">
        <v>50</v>
      </c>
    </row>
    <row r="12" customFormat="false" ht="31.5" hidden="false" customHeight="true" outlineLevel="0" collapsed="false">
      <c r="B12" s="8" t="s">
        <v>51</v>
      </c>
      <c r="C12" s="17" t="n">
        <v>0.2</v>
      </c>
      <c r="D12" s="8" t="s">
        <v>52</v>
      </c>
    </row>
    <row r="13" customFormat="false" ht="31.5" hidden="false" customHeight="true" outlineLevel="0" collapsed="false">
      <c r="B13" s="8" t="s">
        <v>53</v>
      </c>
      <c r="C13" s="18" t="n">
        <v>1.5</v>
      </c>
      <c r="D13" s="8" t="s">
        <v>54</v>
      </c>
    </row>
    <row r="14" customFormat="false" ht="31.5" hidden="false" customHeight="true" outlineLevel="0" collapsed="false">
      <c r="B14" s="8" t="s">
        <v>55</v>
      </c>
      <c r="C14" s="17" t="n">
        <v>0.4</v>
      </c>
      <c r="D14" s="8" t="s">
        <v>56</v>
      </c>
    </row>
    <row r="15" customFormat="false" ht="31.5" hidden="false" customHeight="true" outlineLevel="0" collapsed="false">
      <c r="B15" s="8" t="s">
        <v>57</v>
      </c>
      <c r="C15" s="20" t="n">
        <v>6</v>
      </c>
      <c r="D15" s="8" t="s">
        <v>58</v>
      </c>
    </row>
    <row r="16" customFormat="false" ht="31.5" hidden="false" customHeight="true" outlineLevel="0" collapsed="false">
      <c r="B16" s="8" t="s">
        <v>59</v>
      </c>
      <c r="C16" s="20" t="n">
        <v>12</v>
      </c>
      <c r="D16" s="8" t="s">
        <v>60</v>
      </c>
    </row>
    <row r="17" customFormat="false" ht="31.5" hidden="false" customHeight="true" outlineLevel="0" collapsed="false">
      <c r="B17" s="8" t="s">
        <v>61</v>
      </c>
      <c r="C17" s="20" t="n">
        <v>20</v>
      </c>
      <c r="D17" s="8" t="s">
        <v>62</v>
      </c>
    </row>
    <row r="19" customFormat="false" ht="15.75" hidden="false" customHeight="true" outlineLevel="0" collapsed="false">
      <c r="B19" s="4" t="s">
        <v>63</v>
      </c>
      <c r="C19" s="4"/>
      <c r="D19" s="4"/>
    </row>
    <row r="20" customFormat="false" ht="31.5" hidden="false" customHeight="true" outlineLevel="0" collapsed="false">
      <c r="B20" s="8" t="s">
        <v>64</v>
      </c>
      <c r="C20" s="16" t="n">
        <v>3</v>
      </c>
      <c r="D20" s="8" t="s">
        <v>65</v>
      </c>
    </row>
    <row r="21" customFormat="false" ht="31.5" hidden="false" customHeight="true" outlineLevel="0" collapsed="false">
      <c r="B21" s="8" t="s">
        <v>66</v>
      </c>
      <c r="C21" s="20" t="n">
        <v>400</v>
      </c>
      <c r="D21" s="8" t="s">
        <v>67</v>
      </c>
    </row>
    <row r="22" customFormat="false" ht="31.5" hidden="false" customHeight="true" outlineLevel="0" collapsed="false">
      <c r="B22" s="8" t="s">
        <v>68</v>
      </c>
      <c r="C22" s="20" t="n">
        <v>3400</v>
      </c>
      <c r="D22" s="8" t="s">
        <v>69</v>
      </c>
    </row>
    <row r="23" customFormat="false" ht="31.5" hidden="false" customHeight="true" outlineLevel="0" collapsed="false">
      <c r="B23" s="8" t="s">
        <v>70</v>
      </c>
      <c r="C23" s="20" t="n">
        <v>4</v>
      </c>
      <c r="D23" s="8" t="s">
        <v>71</v>
      </c>
    </row>
    <row r="24" customFormat="false" ht="31.5" hidden="false" customHeight="true" outlineLevel="0" collapsed="false">
      <c r="B24" s="8" t="s">
        <v>72</v>
      </c>
      <c r="C24" s="20" t="n">
        <v>1</v>
      </c>
      <c r="D24" s="8" t="s">
        <v>73</v>
      </c>
    </row>
    <row r="25" customFormat="false" ht="31.5" hidden="false" customHeight="true" outlineLevel="0" collapsed="false">
      <c r="B25" s="8" t="s">
        <v>74</v>
      </c>
      <c r="C25" s="20" t="n">
        <v>11</v>
      </c>
      <c r="D25" s="8" t="s">
        <v>75</v>
      </c>
    </row>
    <row r="26" customFormat="false" ht="31.5" hidden="false" customHeight="true" outlineLevel="0" collapsed="false">
      <c r="B26" s="8" t="s">
        <v>76</v>
      </c>
      <c r="C26" s="20" t="n">
        <v>1</v>
      </c>
      <c r="D26" s="8" t="s">
        <v>77</v>
      </c>
    </row>
    <row r="27" customFormat="false" ht="31.5" hidden="false" customHeight="true" outlineLevel="0" collapsed="false">
      <c r="B27" s="8" t="s">
        <v>78</v>
      </c>
      <c r="C27" s="20" t="n">
        <v>3</v>
      </c>
      <c r="D27" s="8" t="s">
        <v>79</v>
      </c>
    </row>
    <row r="29" customFormat="false" ht="15.75" hidden="false" customHeight="true" outlineLevel="0" collapsed="false">
      <c r="B29" s="4" t="s">
        <v>80</v>
      </c>
      <c r="C29" s="4"/>
      <c r="D29" s="4"/>
      <c r="E29" s="4"/>
    </row>
    <row r="30" customFormat="false" ht="15" hidden="false" customHeight="true" outlineLevel="0" collapsed="false">
      <c r="B30" s="5" t="s">
        <v>81</v>
      </c>
      <c r="C30" s="5" t="s">
        <v>82</v>
      </c>
      <c r="D30" s="5" t="s">
        <v>83</v>
      </c>
      <c r="E30" s="5" t="s">
        <v>84</v>
      </c>
    </row>
    <row r="31" customFormat="false" ht="15" hidden="false" customHeight="true" outlineLevel="0" collapsed="false">
      <c r="B31" s="6" t="s">
        <v>85</v>
      </c>
      <c r="C31" s="21" t="n">
        <v>1.5</v>
      </c>
      <c r="D31" s="21" t="n">
        <v>9</v>
      </c>
      <c r="E31" s="8" t="s">
        <v>86</v>
      </c>
    </row>
    <row r="32" customFormat="false" ht="15" hidden="false" customHeight="true" outlineLevel="0" collapsed="false">
      <c r="B32" s="6" t="s">
        <v>87</v>
      </c>
      <c r="C32" s="21" t="n">
        <v>0.3</v>
      </c>
      <c r="D32" s="21" t="n">
        <v>2.5</v>
      </c>
      <c r="E32" s="8" t="s">
        <v>88</v>
      </c>
    </row>
    <row r="33" customFormat="false" ht="15" hidden="false" customHeight="true" outlineLevel="0" collapsed="false">
      <c r="B33" s="6" t="s">
        <v>89</v>
      </c>
      <c r="C33" s="21" t="n">
        <v>0.75</v>
      </c>
      <c r="D33" s="21" t="n">
        <v>3.75</v>
      </c>
      <c r="E33" s="8" t="s">
        <v>90</v>
      </c>
    </row>
    <row r="34" customFormat="false" ht="15" hidden="false" customHeight="true" outlineLevel="0" collapsed="false">
      <c r="B34" s="6" t="s">
        <v>91</v>
      </c>
      <c r="C34" s="21" t="n">
        <v>1.5</v>
      </c>
      <c r="D34" s="21" t="n">
        <v>7.5</v>
      </c>
      <c r="E34" s="8" t="s">
        <v>92</v>
      </c>
    </row>
    <row r="35" customFormat="false" ht="15" hidden="false" customHeight="true" outlineLevel="0" collapsed="false">
      <c r="B35" s="6" t="s">
        <v>93</v>
      </c>
      <c r="C35" s="21" t="n">
        <v>0.25</v>
      </c>
      <c r="D35" s="21" t="n">
        <v>1.5</v>
      </c>
      <c r="E35" s="8" t="s">
        <v>94</v>
      </c>
    </row>
    <row r="36" customFormat="false" ht="15" hidden="false" customHeight="true" outlineLevel="0" collapsed="false">
      <c r="B36" s="6" t="s">
        <v>95</v>
      </c>
      <c r="C36" s="21" t="n">
        <v>0.5</v>
      </c>
      <c r="D36" s="21" t="n">
        <v>3</v>
      </c>
      <c r="E36" s="8" t="s">
        <v>96</v>
      </c>
    </row>
    <row r="37" customFormat="false" ht="15" hidden="false" customHeight="true" outlineLevel="0" collapsed="false">
      <c r="B37" s="6" t="s">
        <v>97</v>
      </c>
      <c r="C37" s="21" t="n">
        <v>0.15</v>
      </c>
      <c r="D37" s="21" t="n">
        <v>0</v>
      </c>
      <c r="E37" s="6" t="s">
        <v>98</v>
      </c>
    </row>
    <row r="38" customFormat="false" ht="31.5" hidden="false" customHeight="true" outlineLevel="0" collapsed="false">
      <c r="B38" s="8" t="s">
        <v>99</v>
      </c>
      <c r="C38" s="8"/>
      <c r="D38" s="8"/>
      <c r="E38" s="8"/>
    </row>
    <row r="40" customFormat="false" ht="15.75" hidden="false" customHeight="true" outlineLevel="0" collapsed="false">
      <c r="B40" s="4" t="s">
        <v>100</v>
      </c>
      <c r="C40" s="4"/>
      <c r="D40" s="4"/>
    </row>
    <row r="41" customFormat="false" ht="15" hidden="false" customHeight="true" outlineLevel="0" collapsed="false">
      <c r="B41" s="6" t="s">
        <v>101</v>
      </c>
      <c r="C41" s="22" t="s">
        <v>85</v>
      </c>
      <c r="D41" s="6" t="s">
        <v>102</v>
      </c>
    </row>
    <row r="42" customFormat="false" ht="15" hidden="false" customHeight="true" outlineLevel="0" collapsed="false">
      <c r="B42" s="6" t="s">
        <v>103</v>
      </c>
      <c r="C42" s="22" t="s">
        <v>87</v>
      </c>
      <c r="D42" s="6" t="s">
        <v>104</v>
      </c>
    </row>
    <row r="43" customFormat="false" ht="15" hidden="false" customHeight="true" outlineLevel="0" collapsed="false">
      <c r="B43" s="6" t="s">
        <v>105</v>
      </c>
      <c r="C43" s="23" t="n">
        <f aca="false">INDEX($C$31:$C$36,MATCH($C$41,$B$31:$B$36,0))</f>
        <v>1.5</v>
      </c>
    </row>
    <row r="44" customFormat="false" ht="15" hidden="false" customHeight="true" outlineLevel="0" collapsed="false">
      <c r="B44" s="6" t="s">
        <v>106</v>
      </c>
      <c r="C44" s="23" t="n">
        <f aca="false">INDEX($D$31:$D$36,MATCH($C$41,$B$31:$B$36,0))</f>
        <v>9</v>
      </c>
    </row>
    <row r="45" customFormat="false" ht="15" hidden="false" customHeight="true" outlineLevel="0" collapsed="false">
      <c r="B45" s="6" t="s">
        <v>107</v>
      </c>
      <c r="C45" s="23" t="n">
        <f aca="false">INDEX($C$31:$C$36,MATCH($C$42,$B$31:$B$36,0))</f>
        <v>0.3</v>
      </c>
    </row>
    <row r="46" customFormat="false" ht="15" hidden="false" customHeight="true" outlineLevel="0" collapsed="false">
      <c r="B46" s="6" t="s">
        <v>108</v>
      </c>
      <c r="C46" s="23" t="n">
        <f aca="false">INDEX($D$31:$D$36,MATCH($C$42,$B$31:$B$36,0))</f>
        <v>2.5</v>
      </c>
    </row>
    <row r="47" customFormat="false" ht="31.5" hidden="false" customHeight="true" outlineLevel="0" collapsed="false">
      <c r="B47" s="8" t="s">
        <v>109</v>
      </c>
      <c r="C47" s="17" t="n">
        <v>0.5</v>
      </c>
      <c r="D47" s="8" t="s">
        <v>110</v>
      </c>
    </row>
    <row r="49" customFormat="false" ht="15.75" hidden="false" customHeight="true" outlineLevel="0" collapsed="false">
      <c r="B49" s="4" t="s">
        <v>111</v>
      </c>
      <c r="C49" s="4"/>
      <c r="D49" s="4"/>
    </row>
    <row r="50" customFormat="false" ht="15" hidden="false" customHeight="true" outlineLevel="0" collapsed="false">
      <c r="B50" s="8" t="s">
        <v>112</v>
      </c>
      <c r="C50" s="21" t="n">
        <v>20</v>
      </c>
      <c r="D50" s="8" t="s">
        <v>113</v>
      </c>
    </row>
    <row r="51" customFormat="false" ht="15" hidden="false" customHeight="true" outlineLevel="0" collapsed="false">
      <c r="B51" s="8" t="s">
        <v>114</v>
      </c>
      <c r="C51" s="21" t="n">
        <v>19</v>
      </c>
      <c r="D51" s="8" t="s">
        <v>115</v>
      </c>
    </row>
    <row r="52" customFormat="false" ht="15" hidden="false" customHeight="true" outlineLevel="0" collapsed="false">
      <c r="B52" s="8" t="s">
        <v>116</v>
      </c>
      <c r="C52" s="21" t="n">
        <v>0</v>
      </c>
      <c r="D52" s="8" t="s">
        <v>117</v>
      </c>
    </row>
    <row r="53" customFormat="false" ht="15" hidden="false" customHeight="true" outlineLevel="0" collapsed="false">
      <c r="B53" s="8" t="s">
        <v>118</v>
      </c>
      <c r="C53" s="21" t="n">
        <v>0</v>
      </c>
      <c r="D53" s="8" t="s">
        <v>119</v>
      </c>
    </row>
    <row r="54" customFormat="false" ht="29.25" hidden="false" customHeight="true" outlineLevel="0" collapsed="false">
      <c r="B54" s="24" t="s">
        <v>120</v>
      </c>
      <c r="C54" s="25" t="n">
        <f aca="false">SUM(C50:C53)</f>
        <v>39</v>
      </c>
      <c r="D54" s="8" t="s">
        <v>121</v>
      </c>
    </row>
    <row r="56" customFormat="false" ht="15.75" hidden="false" customHeight="true" outlineLevel="0" collapsed="false">
      <c r="B56" s="4" t="s">
        <v>122</v>
      </c>
      <c r="C56" s="4"/>
      <c r="D56" s="4"/>
    </row>
    <row r="57" customFormat="false" ht="31.5" hidden="false" customHeight="true" outlineLevel="0" collapsed="false">
      <c r="B57" s="8" t="s">
        <v>123</v>
      </c>
      <c r="C57" s="26" t="n">
        <v>60</v>
      </c>
      <c r="D57" s="8" t="s">
        <v>124</v>
      </c>
    </row>
    <row r="58" customFormat="false" ht="31.5" hidden="false" customHeight="true" outlineLevel="0" collapsed="false">
      <c r="B58" s="8" t="s">
        <v>125</v>
      </c>
      <c r="C58" s="27" t="n">
        <v>20</v>
      </c>
      <c r="D58" s="8" t="s">
        <v>126</v>
      </c>
    </row>
    <row r="59" customFormat="false" ht="31.5" hidden="false" customHeight="true" outlineLevel="0" collapsed="false">
      <c r="B59" s="8" t="s">
        <v>127</v>
      </c>
      <c r="C59" s="20" t="n">
        <v>85</v>
      </c>
      <c r="D59" s="8" t="s">
        <v>128</v>
      </c>
    </row>
    <row r="60" customFormat="false" ht="31.5" hidden="false" customHeight="true" outlineLevel="0" collapsed="false">
      <c r="B60" s="8" t="s">
        <v>129</v>
      </c>
      <c r="C60" s="20" t="n">
        <v>120000</v>
      </c>
      <c r="D60" s="8" t="s">
        <v>130</v>
      </c>
    </row>
    <row r="61" customFormat="false" ht="31.5" hidden="false" customHeight="true" outlineLevel="0" collapsed="false">
      <c r="B61" s="8" t="s">
        <v>131</v>
      </c>
      <c r="C61" s="28" t="n">
        <f aca="false">Inputs!$C$60/Inputs!$C$59</f>
        <v>1411.76470588235</v>
      </c>
      <c r="D61" s="8" t="s">
        <v>47</v>
      </c>
    </row>
  </sheetData>
  <mergeCells count="7">
    <mergeCell ref="B5:D5"/>
    <mergeCell ref="B19:D19"/>
    <mergeCell ref="B29:E29"/>
    <mergeCell ref="B38:E38"/>
    <mergeCell ref="B40:D40"/>
    <mergeCell ref="B49:D49"/>
    <mergeCell ref="B56:D56"/>
  </mergeCells>
  <dataValidations count="1">
    <dataValidation allowBlank="false" errorStyle="stop" operator="between" showDropDown="false" showErrorMessage="false" showInputMessage="false" sqref="C41:C42" type="list">
      <formula1>$B$31:$B$36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14"/>
    <col collapsed="false" customWidth="true" hidden="false" outlineLevel="0" max="4" min="4" style="1" width="9"/>
    <col collapsed="false" customWidth="true" hidden="false" outlineLevel="0" max="5" min="5" style="1" width="13"/>
    <col collapsed="false" customWidth="true" hidden="false" outlineLevel="0" max="6" min="6" style="1" width="14"/>
    <col collapsed="false" customWidth="true" hidden="false" outlineLevel="0" max="7" min="7" style="1" width="11"/>
    <col collapsed="false" customWidth="true" hidden="false" outlineLevel="0" max="8" min="8" style="1" width="12"/>
    <col collapsed="false" customWidth="true" hidden="false" outlineLevel="0" max="11" min="9" style="1" width="10"/>
    <col collapsed="false" customWidth="true" hidden="false" outlineLevel="0" max="12" min="12" style="1" width="12"/>
    <col collapsed="false" customWidth="true" hidden="false" outlineLevel="0" max="14" min="13" style="1" width="13"/>
    <col collapsed="false" customWidth="true" hidden="false" outlineLevel="0" max="15" min="15" style="1" width="12"/>
    <col collapsed="false" customWidth="true" hidden="false" outlineLevel="0" max="16" min="16" style="1" width="60"/>
  </cols>
  <sheetData>
    <row r="2" customFormat="false" ht="19.5" hidden="false" customHeight="true" outlineLevel="0" collapsed="false">
      <c r="B2" s="2" t="s">
        <v>132</v>
      </c>
    </row>
    <row r="3" customFormat="false" ht="15" hidden="false" customHeight="true" outlineLevel="0" collapsed="false">
      <c r="B3" s="3" t="s">
        <v>133</v>
      </c>
    </row>
    <row r="5" customFormat="false" ht="15.75" hidden="false" customHeight="true" outlineLevel="0" collapsed="false">
      <c r="B5" s="4" t="s">
        <v>134</v>
      </c>
      <c r="C5" s="4"/>
      <c r="D5" s="4"/>
      <c r="E5" s="4"/>
      <c r="F5" s="4"/>
      <c r="G5" s="4"/>
      <c r="H5" s="4"/>
      <c r="I5" s="4"/>
      <c r="J5" s="4"/>
      <c r="K5" s="4"/>
      <c r="L5" s="4"/>
      <c r="M5" s="4"/>
      <c r="N5" s="4"/>
      <c r="O5" s="4"/>
      <c r="P5" s="4"/>
    </row>
    <row r="6" customFormat="false" ht="61.5" hidden="false" customHeight="true" outlineLevel="0" collapsed="false">
      <c r="B6" s="5" t="s">
        <v>135</v>
      </c>
      <c r="C6" s="5" t="s">
        <v>136</v>
      </c>
      <c r="D6" s="5" t="s">
        <v>137</v>
      </c>
      <c r="E6" s="5" t="s">
        <v>138</v>
      </c>
      <c r="F6" s="5" t="s">
        <v>139</v>
      </c>
      <c r="G6" s="5" t="s">
        <v>140</v>
      </c>
      <c r="H6" s="5" t="s">
        <v>141</v>
      </c>
      <c r="I6" s="5" t="s">
        <v>142</v>
      </c>
      <c r="J6" s="5" t="s">
        <v>82</v>
      </c>
      <c r="K6" s="5" t="s">
        <v>83</v>
      </c>
      <c r="L6" s="5" t="s">
        <v>143</v>
      </c>
      <c r="M6" s="5" t="s">
        <v>144</v>
      </c>
      <c r="N6" s="5" t="s">
        <v>145</v>
      </c>
      <c r="O6" s="5" t="s">
        <v>146</v>
      </c>
      <c r="P6" s="5" t="s">
        <v>147</v>
      </c>
    </row>
    <row r="7" customFormat="false" ht="61.5" hidden="false" customHeight="true" outlineLevel="0" collapsed="false">
      <c r="B7" s="8" t="s">
        <v>148</v>
      </c>
      <c r="C7" s="8" t="s">
        <v>149</v>
      </c>
      <c r="D7" s="29" t="s">
        <v>150</v>
      </c>
      <c r="E7" s="30" t="n">
        <f aca="false">3100*Inputs!$C$8</f>
        <v>9300</v>
      </c>
      <c r="F7" s="30" t="n">
        <f aca="false">900*Inputs!$C$8</f>
        <v>2700</v>
      </c>
      <c r="G7" s="20" t="n">
        <v>1</v>
      </c>
      <c r="H7" s="20" t="n">
        <v>1</v>
      </c>
      <c r="I7" s="20" t="n">
        <v>1</v>
      </c>
      <c r="J7" s="9" t="n">
        <f aca="false">IF(D7="Strong",Inputs!$C$43,IF(D7="Fast",Inputs!$C$45,0))</f>
        <v>0.3</v>
      </c>
      <c r="K7" s="9" t="n">
        <f aca="false">IF(D7="Strong",Inputs!$C$44,IF(D7="Fast",Inputs!$C$46,0))</f>
        <v>2.5</v>
      </c>
      <c r="L7" s="31" t="n">
        <f aca="false">E7*J7/1000000+F7*K7/1000000</f>
        <v>0.00954</v>
      </c>
      <c r="M7" s="31" t="n">
        <f aca="false">L7*G7</f>
        <v>0.00954</v>
      </c>
      <c r="N7" s="31" t="n">
        <f aca="false">L7*H7</f>
        <v>0.00954</v>
      </c>
      <c r="O7" s="31" t="n">
        <f aca="false">L7*I7</f>
        <v>0.00954</v>
      </c>
      <c r="P7" s="8" t="s">
        <v>151</v>
      </c>
    </row>
    <row r="8" customFormat="false" ht="61.5" hidden="false" customHeight="true" outlineLevel="0" collapsed="false">
      <c r="B8" s="8" t="s">
        <v>152</v>
      </c>
      <c r="C8" s="8" t="s">
        <v>153</v>
      </c>
      <c r="D8" s="29" t="s">
        <v>150</v>
      </c>
      <c r="E8" s="30" t="n">
        <f aca="false">1200*Inputs!$C$8</f>
        <v>3600</v>
      </c>
      <c r="F8" s="30" t="n">
        <f aca="false">900*Inputs!$C$8</f>
        <v>2700</v>
      </c>
      <c r="G8" s="10" t="n">
        <f aca="false">Inputs!$C$12</f>
        <v>0.2</v>
      </c>
      <c r="H8" s="10" t="n">
        <f aca="false">Inputs!$C$12</f>
        <v>0.2</v>
      </c>
      <c r="I8" s="10" t="n">
        <f aca="false">Inputs!$C$12</f>
        <v>0.2</v>
      </c>
      <c r="J8" s="9" t="n">
        <f aca="false">IF(D8="Strong",Inputs!$C$43,IF(D8="Fast",Inputs!$C$45,0))</f>
        <v>0.3</v>
      </c>
      <c r="K8" s="9" t="n">
        <f aca="false">IF(D8="Strong",Inputs!$C$44,IF(D8="Fast",Inputs!$C$46,0))</f>
        <v>2.5</v>
      </c>
      <c r="L8" s="31" t="n">
        <f aca="false">E8*J8/1000000+F8*K8/1000000</f>
        <v>0.00783</v>
      </c>
      <c r="M8" s="31" t="n">
        <f aca="false">L8*G8</f>
        <v>0.001566</v>
      </c>
      <c r="N8" s="31" t="n">
        <f aca="false">L8*H8</f>
        <v>0.001566</v>
      </c>
      <c r="O8" s="31" t="n">
        <f aca="false">L8*I8</f>
        <v>0.001566</v>
      </c>
      <c r="P8" s="8" t="s">
        <v>154</v>
      </c>
    </row>
    <row r="9" customFormat="false" ht="61.5" hidden="false" customHeight="true" outlineLevel="0" collapsed="false">
      <c r="B9" s="8" t="s">
        <v>155</v>
      </c>
      <c r="C9" s="8" t="s">
        <v>156</v>
      </c>
      <c r="D9" s="29" t="s">
        <v>157</v>
      </c>
      <c r="E9" s="20" t="n">
        <v>0</v>
      </c>
      <c r="F9" s="20" t="n">
        <v>0</v>
      </c>
      <c r="G9" s="20" t="n">
        <v>1</v>
      </c>
      <c r="H9" s="20" t="n">
        <v>1</v>
      </c>
      <c r="I9" s="20" t="n">
        <v>1</v>
      </c>
      <c r="J9" s="9" t="n">
        <f aca="false">IF(D9="Strong",Inputs!$C$43,IF(D9="Fast",Inputs!$C$45,0))</f>
        <v>0</v>
      </c>
      <c r="K9" s="9" t="n">
        <f aca="false">IF(D9="Strong",Inputs!$C$44,IF(D9="Fast",Inputs!$C$46,0))</f>
        <v>0</v>
      </c>
      <c r="L9" s="31" t="n">
        <f aca="false">E9*J9/1000000+F9*K9/1000000</f>
        <v>0</v>
      </c>
      <c r="M9" s="31" t="n">
        <f aca="false">L9*G9</f>
        <v>0</v>
      </c>
      <c r="N9" s="31" t="n">
        <f aca="false">L9*H9</f>
        <v>0</v>
      </c>
      <c r="O9" s="31" t="n">
        <f aca="false">L9*I9</f>
        <v>0</v>
      </c>
      <c r="P9" s="8" t="s">
        <v>158</v>
      </c>
    </row>
    <row r="10" customFormat="false" ht="61.5" hidden="false" customHeight="true" outlineLevel="0" collapsed="false">
      <c r="B10" s="8" t="s">
        <v>159</v>
      </c>
      <c r="C10" s="8" t="s">
        <v>160</v>
      </c>
      <c r="D10" s="29" t="s">
        <v>161</v>
      </c>
      <c r="E10" s="30" t="n">
        <f aca="false">Inputs!$C$22*Inputs!$C$8+Inputs!$C$20*Inputs!$C$21</f>
        <v>11400</v>
      </c>
      <c r="F10" s="20" t="n">
        <v>7000</v>
      </c>
      <c r="G10" s="20" t="n">
        <v>1</v>
      </c>
      <c r="H10" s="20" t="n">
        <v>1</v>
      </c>
      <c r="I10" s="20" t="n">
        <v>0</v>
      </c>
      <c r="J10" s="9" t="n">
        <f aca="false">IF(D10="Strong",Inputs!$C$43,IF(D10="Fast",Inputs!$C$45,0))</f>
        <v>1.5</v>
      </c>
      <c r="K10" s="9" t="n">
        <f aca="false">IF(D10="Strong",Inputs!$C$44,IF(D10="Fast",Inputs!$C$46,0))</f>
        <v>9</v>
      </c>
      <c r="L10" s="31" t="n">
        <f aca="false">E10*J10/1000000+F10*K10/1000000</f>
        <v>0.0801</v>
      </c>
      <c r="M10" s="31" t="n">
        <f aca="false">L10*G10</f>
        <v>0.0801</v>
      </c>
      <c r="N10" s="31" t="n">
        <f aca="false">L10*H10</f>
        <v>0.0801</v>
      </c>
      <c r="O10" s="31" t="n">
        <f aca="false">L10*I10</f>
        <v>0</v>
      </c>
      <c r="P10" s="8" t="s">
        <v>162</v>
      </c>
    </row>
    <row r="11" customFormat="false" ht="61.5" hidden="false" customHeight="true" outlineLevel="0" collapsed="false">
      <c r="B11" s="8" t="s">
        <v>163</v>
      </c>
      <c r="C11" s="8" t="s">
        <v>164</v>
      </c>
      <c r="D11" s="29" t="s">
        <v>161</v>
      </c>
      <c r="E11" s="20" t="n">
        <v>1400</v>
      </c>
      <c r="F11" s="20" t="n">
        <v>650</v>
      </c>
      <c r="G11" s="20" t="n">
        <v>0</v>
      </c>
      <c r="H11" s="20" t="n">
        <v>0</v>
      </c>
      <c r="I11" s="20" t="n">
        <v>1</v>
      </c>
      <c r="J11" s="9" t="n">
        <f aca="false">IF(D11="Strong",Inputs!$C$43,IF(D11="Fast",Inputs!$C$45,0))</f>
        <v>1.5</v>
      </c>
      <c r="K11" s="9" t="n">
        <f aca="false">IF(D11="Strong",Inputs!$C$44,IF(D11="Fast",Inputs!$C$46,0))</f>
        <v>9</v>
      </c>
      <c r="L11" s="31" t="n">
        <f aca="false">E11*J11/1000000+F11*K11/1000000</f>
        <v>0.00795</v>
      </c>
      <c r="M11" s="31" t="n">
        <f aca="false">L11*G11</f>
        <v>0</v>
      </c>
      <c r="N11" s="31" t="n">
        <f aca="false">L11*H11</f>
        <v>0</v>
      </c>
      <c r="O11" s="31" t="n">
        <f aca="false">L11*I11</f>
        <v>0.00795</v>
      </c>
      <c r="P11" s="8" t="s">
        <v>165</v>
      </c>
    </row>
    <row r="12" customFormat="false" ht="61.5" hidden="false" customHeight="true" outlineLevel="0" collapsed="false">
      <c r="B12" s="8" t="s">
        <v>166</v>
      </c>
      <c r="C12" s="8" t="s">
        <v>167</v>
      </c>
      <c r="D12" s="29" t="s">
        <v>161</v>
      </c>
      <c r="E12" s="30" t="n">
        <f aca="false">5200*Inputs!$C$8</f>
        <v>15600</v>
      </c>
      <c r="F12" s="20" t="n">
        <v>6600</v>
      </c>
      <c r="G12" s="20" t="n">
        <v>1</v>
      </c>
      <c r="H12" s="20" t="n">
        <v>1</v>
      </c>
      <c r="I12" s="20" t="n">
        <v>0</v>
      </c>
      <c r="J12" s="9" t="n">
        <f aca="false">IF(D12="Strong",Inputs!$C$43,IF(D12="Fast",Inputs!$C$45,0))</f>
        <v>1.5</v>
      </c>
      <c r="K12" s="9" t="n">
        <f aca="false">IF(D12="Strong",Inputs!$C$44,IF(D12="Fast",Inputs!$C$46,0))</f>
        <v>9</v>
      </c>
      <c r="L12" s="31" t="n">
        <f aca="false">E12*J12/1000000+F12*K12/1000000</f>
        <v>0.0828</v>
      </c>
      <c r="M12" s="31" t="n">
        <f aca="false">L12*G12</f>
        <v>0.0828</v>
      </c>
      <c r="N12" s="31" t="n">
        <f aca="false">L12*H12</f>
        <v>0.0828</v>
      </c>
      <c r="O12" s="31" t="n">
        <f aca="false">L12*I12</f>
        <v>0</v>
      </c>
      <c r="P12" s="8" t="s">
        <v>168</v>
      </c>
    </row>
    <row r="13" customFormat="false" ht="61.5" hidden="false" customHeight="true" outlineLevel="0" collapsed="false">
      <c r="B13" s="8" t="s">
        <v>169</v>
      </c>
      <c r="C13" s="8" t="s">
        <v>170</v>
      </c>
      <c r="D13" s="29" t="s">
        <v>157</v>
      </c>
      <c r="E13" s="20" t="n">
        <v>0</v>
      </c>
      <c r="F13" s="20" t="n">
        <v>0</v>
      </c>
      <c r="G13" s="20" t="n">
        <v>1</v>
      </c>
      <c r="H13" s="20" t="n">
        <v>1</v>
      </c>
      <c r="I13" s="20" t="n">
        <v>0</v>
      </c>
      <c r="J13" s="9" t="n">
        <f aca="false">IF(D13="Strong",Inputs!$C$43,IF(D13="Fast",Inputs!$C$45,0))</f>
        <v>0</v>
      </c>
      <c r="K13" s="9" t="n">
        <f aca="false">IF(D13="Strong",Inputs!$C$44,IF(D13="Fast",Inputs!$C$46,0))</f>
        <v>0</v>
      </c>
      <c r="L13" s="31" t="n">
        <f aca="false">E13*J13/1000000+F13*K13/1000000</f>
        <v>0</v>
      </c>
      <c r="M13" s="31" t="n">
        <f aca="false">L13*G13</f>
        <v>0</v>
      </c>
      <c r="N13" s="31" t="n">
        <f aca="false">L13*H13</f>
        <v>0</v>
      </c>
      <c r="O13" s="31" t="n">
        <f aca="false">L13*I13</f>
        <v>0</v>
      </c>
      <c r="P13" s="8" t="s">
        <v>171</v>
      </c>
    </row>
    <row r="14" customFormat="false" ht="61.5" hidden="false" customHeight="true" outlineLevel="0" collapsed="false">
      <c r="B14" s="8" t="s">
        <v>172</v>
      </c>
      <c r="C14" s="8" t="s">
        <v>170</v>
      </c>
      <c r="D14" s="29" t="s">
        <v>161</v>
      </c>
      <c r="E14" s="30" t="n">
        <f aca="false">3500*Inputs!$C$8</f>
        <v>10500</v>
      </c>
      <c r="F14" s="20" t="n">
        <v>5900</v>
      </c>
      <c r="G14" s="20" t="n">
        <v>1</v>
      </c>
      <c r="H14" s="20" t="n">
        <v>1</v>
      </c>
      <c r="I14" s="20" t="n">
        <v>0</v>
      </c>
      <c r="J14" s="9" t="n">
        <f aca="false">IF(D14="Strong",Inputs!$C$43,IF(D14="Fast",Inputs!$C$45,0))</f>
        <v>1.5</v>
      </c>
      <c r="K14" s="9" t="n">
        <f aca="false">IF(D14="Strong",Inputs!$C$44,IF(D14="Fast",Inputs!$C$46,0))</f>
        <v>9</v>
      </c>
      <c r="L14" s="31" t="n">
        <f aca="false">E14*J14/1000000+F14*K14/1000000</f>
        <v>0.06885</v>
      </c>
      <c r="M14" s="31" t="n">
        <f aca="false">L14*G14</f>
        <v>0.06885</v>
      </c>
      <c r="N14" s="31" t="n">
        <f aca="false">L14*H14</f>
        <v>0.06885</v>
      </c>
      <c r="O14" s="31" t="n">
        <f aca="false">L14*I14</f>
        <v>0</v>
      </c>
      <c r="P14" s="8" t="s">
        <v>173</v>
      </c>
    </row>
    <row r="15" customFormat="false" ht="61.5" hidden="false" customHeight="true" outlineLevel="0" collapsed="false">
      <c r="B15" s="8" t="s">
        <v>174</v>
      </c>
      <c r="C15" s="8" t="s">
        <v>175</v>
      </c>
      <c r="D15" s="29" t="s">
        <v>157</v>
      </c>
      <c r="E15" s="20" t="n">
        <v>0</v>
      </c>
      <c r="F15" s="20" t="n">
        <v>0</v>
      </c>
      <c r="G15" s="20" t="n">
        <v>1</v>
      </c>
      <c r="H15" s="20" t="n">
        <v>0</v>
      </c>
      <c r="I15" s="20" t="n">
        <v>1</v>
      </c>
      <c r="J15" s="9" t="n">
        <f aca="false">IF(D15="Strong",Inputs!$C$43,IF(D15="Fast",Inputs!$C$45,0))</f>
        <v>0</v>
      </c>
      <c r="K15" s="9" t="n">
        <f aca="false">IF(D15="Strong",Inputs!$C$44,IF(D15="Fast",Inputs!$C$46,0))</f>
        <v>0</v>
      </c>
      <c r="L15" s="31" t="n">
        <f aca="false">E15*J15/1000000+F15*K15/1000000</f>
        <v>0</v>
      </c>
      <c r="M15" s="31" t="n">
        <f aca="false">L15*G15</f>
        <v>0</v>
      </c>
      <c r="N15" s="31" t="n">
        <f aca="false">L15*H15</f>
        <v>0</v>
      </c>
      <c r="O15" s="31" t="n">
        <f aca="false">L15*I15</f>
        <v>0</v>
      </c>
      <c r="P15" s="8" t="s">
        <v>176</v>
      </c>
    </row>
    <row r="16" customFormat="false" ht="61.5" hidden="false" customHeight="true" outlineLevel="0" collapsed="false">
      <c r="B16" s="8" t="s">
        <v>177</v>
      </c>
      <c r="C16" s="8" t="s">
        <v>178</v>
      </c>
      <c r="D16" s="29" t="s">
        <v>161</v>
      </c>
      <c r="E16" s="20" t="n">
        <v>600</v>
      </c>
      <c r="F16" s="20" t="n">
        <v>1500</v>
      </c>
      <c r="G16" s="20" t="n">
        <v>1</v>
      </c>
      <c r="H16" s="20" t="n">
        <v>0</v>
      </c>
      <c r="I16" s="20" t="n">
        <v>0</v>
      </c>
      <c r="J16" s="9" t="n">
        <f aca="false">IF(D16="Strong",Inputs!$C$43,IF(D16="Fast",Inputs!$C$45,0))</f>
        <v>1.5</v>
      </c>
      <c r="K16" s="9" t="n">
        <f aca="false">IF(D16="Strong",Inputs!$C$44,IF(D16="Fast",Inputs!$C$46,0))</f>
        <v>9</v>
      </c>
      <c r="L16" s="31" t="n">
        <f aca="false">E16*J16/1000000+F16*K16/1000000</f>
        <v>0.0144</v>
      </c>
      <c r="M16" s="31" t="n">
        <f aca="false">L16*G16</f>
        <v>0.0144</v>
      </c>
      <c r="N16" s="31" t="n">
        <f aca="false">L16*H16</f>
        <v>0</v>
      </c>
      <c r="O16" s="31" t="n">
        <f aca="false">L16*I16</f>
        <v>0</v>
      </c>
      <c r="P16" s="8" t="s">
        <v>179</v>
      </c>
    </row>
    <row r="17" customFormat="false" ht="61.5" hidden="false" customHeight="true" outlineLevel="0" collapsed="false">
      <c r="B17" s="8" t="s">
        <v>180</v>
      </c>
      <c r="C17" s="8" t="s">
        <v>181</v>
      </c>
      <c r="D17" s="29" t="s">
        <v>157</v>
      </c>
      <c r="E17" s="20" t="n">
        <v>0</v>
      </c>
      <c r="F17" s="20" t="n">
        <v>0</v>
      </c>
      <c r="G17" s="20" t="n">
        <v>1</v>
      </c>
      <c r="H17" s="20" t="n">
        <v>0</v>
      </c>
      <c r="I17" s="20" t="n">
        <v>1</v>
      </c>
      <c r="J17" s="9" t="n">
        <f aca="false">IF(D17="Strong",Inputs!$C$43,IF(D17="Fast",Inputs!$C$45,0))</f>
        <v>0</v>
      </c>
      <c r="K17" s="9" t="n">
        <f aca="false">IF(D17="Strong",Inputs!$C$44,IF(D17="Fast",Inputs!$C$46,0))</f>
        <v>0</v>
      </c>
      <c r="L17" s="31" t="n">
        <f aca="false">E17*J17/1000000+F17*K17/1000000</f>
        <v>0</v>
      </c>
      <c r="M17" s="31" t="n">
        <f aca="false">L17*G17</f>
        <v>0</v>
      </c>
      <c r="N17" s="31" t="n">
        <f aca="false">L17*H17</f>
        <v>0</v>
      </c>
      <c r="O17" s="31" t="n">
        <f aca="false">L17*I17</f>
        <v>0</v>
      </c>
      <c r="P17" s="8" t="s">
        <v>182</v>
      </c>
    </row>
    <row r="18" customFormat="false" ht="61.5" hidden="false" customHeight="true" outlineLevel="0" collapsed="false">
      <c r="B18" s="8" t="s">
        <v>183</v>
      </c>
      <c r="C18" s="8" t="s">
        <v>184</v>
      </c>
      <c r="D18" s="29" t="s">
        <v>161</v>
      </c>
      <c r="E18" s="20" t="n">
        <v>450</v>
      </c>
      <c r="F18" s="20" t="n">
        <v>350</v>
      </c>
      <c r="G18" s="20" t="n">
        <v>1</v>
      </c>
      <c r="H18" s="20" t="n">
        <v>0</v>
      </c>
      <c r="I18" s="20" t="n">
        <v>1</v>
      </c>
      <c r="J18" s="9" t="n">
        <f aca="false">IF(D18="Strong",Inputs!$C$43,IF(D18="Fast",Inputs!$C$45,0))</f>
        <v>1.5</v>
      </c>
      <c r="K18" s="9" t="n">
        <f aca="false">IF(D18="Strong",Inputs!$C$44,IF(D18="Fast",Inputs!$C$46,0))</f>
        <v>9</v>
      </c>
      <c r="L18" s="31" t="n">
        <f aca="false">E18*J18/1000000+F18*K18/1000000</f>
        <v>0.003825</v>
      </c>
      <c r="M18" s="31" t="n">
        <f aca="false">L18*G18</f>
        <v>0.003825</v>
      </c>
      <c r="N18" s="31" t="n">
        <f aca="false">L18*H18</f>
        <v>0</v>
      </c>
      <c r="O18" s="31" t="n">
        <f aca="false">L18*I18</f>
        <v>0.003825</v>
      </c>
      <c r="P18" s="8" t="s">
        <v>185</v>
      </c>
    </row>
    <row r="19" customFormat="false" ht="29.25" hidden="false" customHeight="true" outlineLevel="0" collapsed="false">
      <c r="B19" s="24" t="s">
        <v>186</v>
      </c>
      <c r="G19" s="32" t="n">
        <f aca="false">SUMPRODUCT((D7:D18&lt;&gt;"Code")*G7:G18)</f>
        <v>6.2</v>
      </c>
      <c r="H19" s="32" t="n">
        <f aca="false">SUMPRODUCT((D7:D18&lt;&gt;"Code")*H7:H18)</f>
        <v>4.2</v>
      </c>
      <c r="I19" s="32" t="n">
        <f aca="false">SUMPRODUCT((D7:D18&lt;&gt;"Code")*I7:I18)</f>
        <v>3.2</v>
      </c>
      <c r="M19" s="33" t="n">
        <f aca="false">SUM(M7:M18)</f>
        <v>0.261081</v>
      </c>
      <c r="N19" s="33" t="n">
        <f aca="false">SUM(N7:N18)</f>
        <v>0.242856</v>
      </c>
      <c r="O19" s="33" t="n">
        <f aca="false">SUM(O7:O18)</f>
        <v>0.022881</v>
      </c>
      <c r="P19" s="8" t="s">
        <v>187</v>
      </c>
    </row>
    <row r="20" customFormat="false" ht="15" hidden="false" customHeight="true" outlineLevel="0" collapsed="false">
      <c r="B20" s="24" t="s">
        <v>188</v>
      </c>
      <c r="M20" s="34" t="n">
        <f aca="false">M19+N19*Inputs!$C$11</f>
        <v>0.503937</v>
      </c>
      <c r="P20" s="8" t="s">
        <v>189</v>
      </c>
    </row>
    <row r="22" customFormat="false" ht="15" hidden="false" customHeight="true" outlineLevel="0" collapsed="false">
      <c r="B22" s="24" t="s">
        <v>190</v>
      </c>
    </row>
    <row r="23" customFormat="false" ht="15" hidden="false" customHeight="true" outlineLevel="0" collapsed="false">
      <c r="B23" s="5" t="s">
        <v>191</v>
      </c>
      <c r="E23" s="5" t="s">
        <v>192</v>
      </c>
      <c r="F23" s="5" t="s">
        <v>193</v>
      </c>
      <c r="G23" s="5" t="s">
        <v>194</v>
      </c>
      <c r="H23" s="5" t="s">
        <v>195</v>
      </c>
    </row>
    <row r="24" customFormat="false" ht="15" hidden="false" customHeight="true" outlineLevel="0" collapsed="false">
      <c r="B24" s="6" t="s">
        <v>196</v>
      </c>
      <c r="E24" s="35" t="n">
        <f aca="false">SUMPRODUCT((D7:D18="Strong")*E7:E18*G7:G18)</f>
        <v>38550</v>
      </c>
      <c r="F24" s="35" t="n">
        <f aca="false">SUMPRODUCT((D7:D18="Strong")*F7:F18*G7:G18)</f>
        <v>21350</v>
      </c>
      <c r="G24" s="35" t="n">
        <f aca="false">SUMPRODUCT((D7:D18="Fast")*E7:E18*G7:G18)</f>
        <v>10020</v>
      </c>
      <c r="H24" s="35" t="n">
        <f aca="false">SUMPRODUCT((D7:D18="Fast")*F7:F18*G7:G18)</f>
        <v>3240</v>
      </c>
    </row>
    <row r="25" customFormat="false" ht="15" hidden="false" customHeight="true" outlineLevel="0" collapsed="false">
      <c r="B25" s="6" t="s">
        <v>197</v>
      </c>
      <c r="E25" s="35" t="n">
        <f aca="false">SUMPRODUCT((D7:D18="Strong")*E7:E18*H7:H18)</f>
        <v>37500</v>
      </c>
      <c r="F25" s="35" t="n">
        <f aca="false">SUMPRODUCT((D7:D18="Strong")*F7:F18*H7:H18)</f>
        <v>19500</v>
      </c>
      <c r="G25" s="35" t="n">
        <f aca="false">SUMPRODUCT((D7:D18="Fast")*E7:E18*H7:H18)</f>
        <v>10020</v>
      </c>
      <c r="H25" s="35" t="n">
        <f aca="false">SUMPRODUCT((D7:D18="Fast")*F7:F18*H7:H18)</f>
        <v>3240</v>
      </c>
    </row>
    <row r="26" customFormat="false" ht="15" hidden="false" customHeight="true" outlineLevel="0" collapsed="false">
      <c r="B26" s="6" t="s">
        <v>198</v>
      </c>
      <c r="E26" s="35" t="n">
        <f aca="false">SUMPRODUCT((D7:D18="Strong")*E7:E18*I7:I18)</f>
        <v>1850</v>
      </c>
      <c r="F26" s="35" t="n">
        <f aca="false">SUMPRODUCT((D7:D18="Strong")*F7:F18*I7:I18)</f>
        <v>1000</v>
      </c>
      <c r="G26" s="35" t="n">
        <f aca="false">SUMPRODUCT((D7:D18="Fast")*E7:E18*I7:I18)</f>
        <v>10020</v>
      </c>
      <c r="H26" s="35" t="n">
        <f aca="false">SUMPRODUCT((D7:D18="Fast")*F7:F18*I7:I18)</f>
        <v>3240</v>
      </c>
    </row>
    <row r="28" customFormat="false" ht="15.75" hidden="false" customHeight="true" outlineLevel="0" collapsed="false">
      <c r="B28" s="4" t="s">
        <v>199</v>
      </c>
      <c r="C28" s="4"/>
      <c r="D28" s="4"/>
      <c r="E28" s="4"/>
      <c r="F28" s="4"/>
      <c r="G28" s="4"/>
      <c r="H28" s="4"/>
      <c r="I28" s="4"/>
      <c r="J28" s="4"/>
      <c r="K28" s="4"/>
      <c r="L28" s="4"/>
      <c r="M28" s="4"/>
      <c r="N28" s="4"/>
      <c r="O28" s="4"/>
      <c r="P28" s="4"/>
    </row>
    <row r="29" customFormat="false" ht="48" hidden="false" customHeight="true" outlineLevel="0" collapsed="false">
      <c r="B29" s="5" t="s">
        <v>200</v>
      </c>
      <c r="C29" s="5" t="s">
        <v>136</v>
      </c>
      <c r="D29" s="5" t="s">
        <v>137</v>
      </c>
      <c r="E29" s="5" t="s">
        <v>201</v>
      </c>
      <c r="F29" s="5" t="s">
        <v>202</v>
      </c>
      <c r="G29" s="5" t="s">
        <v>203</v>
      </c>
      <c r="L29" s="5" t="s">
        <v>204</v>
      </c>
      <c r="M29" s="5" t="s">
        <v>205</v>
      </c>
      <c r="P29" s="5" t="s">
        <v>206</v>
      </c>
    </row>
    <row r="30" customFormat="false" ht="48" hidden="false" customHeight="true" outlineLevel="0" collapsed="false">
      <c r="B30" s="8" t="s">
        <v>207</v>
      </c>
      <c r="C30" s="6" t="s">
        <v>208</v>
      </c>
      <c r="D30" s="29" t="s">
        <v>161</v>
      </c>
      <c r="E30" s="20" t="n">
        <v>2621</v>
      </c>
      <c r="F30" s="20" t="n">
        <v>7850</v>
      </c>
      <c r="G30" s="30" t="n">
        <f aca="false">Inputs!$C$15</f>
        <v>6</v>
      </c>
      <c r="L30" s="31" t="n">
        <f aca="false">E30*IF(D30="Strong",Inputs!$C$43,Inputs!$C$45)/1000000+F30*IF(D30="Strong",Inputs!$C$44,Inputs!$C$46)/1000000</f>
        <v>0.0745815</v>
      </c>
      <c r="M30" s="31" t="n">
        <f aca="false">L30*G30</f>
        <v>0.447489</v>
      </c>
      <c r="P30" s="8" t="s">
        <v>209</v>
      </c>
    </row>
    <row r="31" customFormat="false" ht="48" hidden="false" customHeight="true" outlineLevel="0" collapsed="false">
      <c r="B31" s="8" t="s">
        <v>210</v>
      </c>
      <c r="C31" s="6" t="s">
        <v>211</v>
      </c>
      <c r="D31" s="29" t="s">
        <v>150</v>
      </c>
      <c r="E31" s="20" t="n">
        <v>3000</v>
      </c>
      <c r="F31" s="20" t="n">
        <v>800</v>
      </c>
      <c r="G31" s="30" t="n">
        <f aca="false">Inputs!$C$16</f>
        <v>12</v>
      </c>
      <c r="L31" s="31" t="n">
        <f aca="false">E31*IF(D31="Strong",Inputs!$C$43,Inputs!$C$45)/1000000+F31*IF(D31="Strong",Inputs!$C$44,Inputs!$C$46)/1000000</f>
        <v>0.0029</v>
      </c>
      <c r="M31" s="31" t="n">
        <f aca="false">L31*G31</f>
        <v>0.0348</v>
      </c>
      <c r="P31" s="8" t="s">
        <v>212</v>
      </c>
    </row>
    <row r="33" customFormat="false" ht="15.75" hidden="false" customHeight="true" outlineLevel="0" collapsed="false">
      <c r="B33" s="4" t="s">
        <v>213</v>
      </c>
      <c r="C33" s="4"/>
      <c r="D33" s="4"/>
      <c r="E33" s="4"/>
      <c r="F33" s="4"/>
      <c r="G33" s="4"/>
      <c r="H33" s="4"/>
      <c r="I33" s="4"/>
      <c r="J33" s="4"/>
      <c r="K33" s="4"/>
      <c r="L33" s="4"/>
      <c r="M33" s="4"/>
      <c r="N33" s="4"/>
      <c r="O33" s="4"/>
      <c r="P33" s="4"/>
    </row>
    <row r="34" customFormat="false" ht="39.75" hidden="false" customHeight="true" outlineLevel="0" collapsed="false">
      <c r="B34" s="8" t="s">
        <v>214</v>
      </c>
      <c r="L34" s="31" t="n">
        <f aca="false">(Inputs!$C$25*Inference!$M$19+Inputs!$C$26*Inference!$N$19+Inputs!$C$27*Inference!$O$19)*Inputs!$C$24</f>
        <v>3.18339</v>
      </c>
      <c r="P34" s="8" t="s">
        <v>215</v>
      </c>
    </row>
    <row r="36" customFormat="false" ht="15.75" hidden="false" customHeight="true" outlineLevel="0" collapsed="false">
      <c r="B36" s="4" t="s">
        <v>216</v>
      </c>
      <c r="C36" s="4"/>
      <c r="D36" s="4"/>
      <c r="E36" s="4"/>
      <c r="F36" s="4"/>
      <c r="G36" s="4"/>
      <c r="H36" s="4"/>
      <c r="I36" s="4"/>
      <c r="J36" s="4"/>
      <c r="K36" s="4"/>
      <c r="L36" s="4"/>
      <c r="M36" s="4"/>
      <c r="N36" s="4"/>
      <c r="O36" s="4"/>
      <c r="P36" s="4"/>
    </row>
    <row r="37" customFormat="false" ht="43.5" hidden="false" customHeight="true" outlineLevel="0" collapsed="false">
      <c r="B37" s="5" t="s">
        <v>217</v>
      </c>
      <c r="E37" s="5" t="s">
        <v>218</v>
      </c>
      <c r="L37" s="5" t="s">
        <v>204</v>
      </c>
      <c r="M37" s="5" t="s">
        <v>205</v>
      </c>
      <c r="P37" s="5" t="s">
        <v>219</v>
      </c>
    </row>
    <row r="38" customFormat="false" ht="29.25" hidden="false" customHeight="true" outlineLevel="0" collapsed="false">
      <c r="B38" s="6" t="s">
        <v>220</v>
      </c>
      <c r="E38" s="10" t="n">
        <f aca="false">Inputs!$C$9*(1+(Inputs!$C$13-1)*(1-Inputs!$C$14))</f>
        <v>4.55</v>
      </c>
      <c r="L38" s="31" t="n">
        <f aca="false">Inference!$M$20</f>
        <v>0.503937</v>
      </c>
      <c r="M38" s="23" t="n">
        <f aca="false">E38*L38</f>
        <v>2.29291335</v>
      </c>
      <c r="P38" s="8" t="s">
        <v>221</v>
      </c>
    </row>
    <row r="39" customFormat="false" ht="15" hidden="false" customHeight="true" outlineLevel="0" collapsed="false">
      <c r="B39" s="6" t="s">
        <v>222</v>
      </c>
      <c r="E39" s="10" t="n">
        <f aca="false">Inputs!$C$10*(1+(Inputs!$C$13-1)*(1-Inputs!$C$14))</f>
        <v>5.85</v>
      </c>
      <c r="L39" s="31" t="n">
        <f aca="false">Inference!$O$19</f>
        <v>0.022881</v>
      </c>
      <c r="M39" s="23" t="n">
        <f aca="false">E39*L39</f>
        <v>0.13385385</v>
      </c>
      <c r="P39" s="8" t="s">
        <v>223</v>
      </c>
    </row>
    <row r="40" customFormat="false" ht="15" hidden="false" customHeight="true" outlineLevel="0" collapsed="false">
      <c r="B40" s="6" t="s">
        <v>224</v>
      </c>
      <c r="E40" s="10" t="n">
        <f aca="false">Inputs!$C$15</f>
        <v>6</v>
      </c>
      <c r="L40" s="31" t="n">
        <f aca="false">Inference!$L$30</f>
        <v>0.0745815</v>
      </c>
      <c r="M40" s="23" t="n">
        <f aca="false">E40*L40</f>
        <v>0.447489</v>
      </c>
      <c r="P40" s="8"/>
    </row>
    <row r="41" customFormat="false" ht="15" hidden="false" customHeight="true" outlineLevel="0" collapsed="false">
      <c r="B41" s="6" t="s">
        <v>225</v>
      </c>
      <c r="E41" s="10" t="n">
        <f aca="false">Inputs!$C$16</f>
        <v>12</v>
      </c>
      <c r="L41" s="31" t="n">
        <f aca="false">Inference!$L$31</f>
        <v>0.0029</v>
      </c>
      <c r="M41" s="23" t="n">
        <f aca="false">E41*L41</f>
        <v>0.0348</v>
      </c>
      <c r="P41" s="8"/>
    </row>
    <row r="42" customFormat="false" ht="15" hidden="false" customHeight="true" outlineLevel="0" collapsed="false">
      <c r="B42" s="6" t="s">
        <v>226</v>
      </c>
      <c r="E42" s="10" t="n">
        <f aca="false">Inputs!$C$23</f>
        <v>4</v>
      </c>
      <c r="L42" s="31" t="n">
        <f aca="false">Inference!$L$34</f>
        <v>3.18339</v>
      </c>
      <c r="M42" s="23" t="n">
        <f aca="false">E42*L42</f>
        <v>12.73356</v>
      </c>
      <c r="P42" s="8" t="s">
        <v>227</v>
      </c>
    </row>
    <row r="43" customFormat="false" ht="15" hidden="false" customHeight="true" outlineLevel="0" collapsed="false">
      <c r="B43" s="24" t="s">
        <v>228</v>
      </c>
      <c r="M43" s="25" t="n">
        <f aca="false">SUM(M38:M42)</f>
        <v>15.6426162</v>
      </c>
    </row>
    <row r="44" customFormat="false" ht="29.25" hidden="false" customHeight="true" outlineLevel="0" collapsed="false">
      <c r="B44" s="24" t="s">
        <v>229</v>
      </c>
      <c r="M44" s="25" t="n">
        <f aca="false">SUM(M38:M41)*Inputs!$C$17/Inputs!$C$6+M42</f>
        <v>20.0062005</v>
      </c>
      <c r="P44" s="8" t="s">
        <v>230</v>
      </c>
    </row>
    <row r="45" customFormat="false" ht="15" hidden="false" customHeight="true" outlineLevel="0" collapsed="false">
      <c r="B45" s="24" t="s">
        <v>231</v>
      </c>
      <c r="M45" s="34" t="n">
        <f aca="false">SUM(M38:M41)/Inputs!$C$6</f>
        <v>0.363632025</v>
      </c>
    </row>
    <row r="47" customFormat="false" ht="15.75" hidden="false" customHeight="true" outlineLevel="0" collapsed="false">
      <c r="B47" s="4" t="s">
        <v>232</v>
      </c>
      <c r="C47" s="4"/>
      <c r="D47" s="4"/>
      <c r="E47" s="4"/>
      <c r="F47" s="4"/>
      <c r="G47" s="4"/>
      <c r="H47" s="4"/>
      <c r="I47" s="4"/>
      <c r="J47" s="4"/>
      <c r="K47" s="4"/>
      <c r="L47" s="4"/>
      <c r="M47" s="4"/>
      <c r="N47" s="4"/>
      <c r="O47" s="4"/>
      <c r="P47" s="4"/>
    </row>
    <row r="48" customFormat="false" ht="43.5" hidden="false" customHeight="true" outlineLevel="0" collapsed="false">
      <c r="B48" s="5" t="s">
        <v>233</v>
      </c>
      <c r="E48" s="5" t="s">
        <v>234</v>
      </c>
      <c r="F48" s="5" t="s">
        <v>235</v>
      </c>
      <c r="L48" s="5" t="s">
        <v>236</v>
      </c>
      <c r="M48" s="5" t="s">
        <v>237</v>
      </c>
      <c r="P48" s="5" t="s">
        <v>206</v>
      </c>
    </row>
    <row r="49" customFormat="false" ht="15" hidden="false" customHeight="true" outlineLevel="0" collapsed="false">
      <c r="B49" s="6" t="s">
        <v>238</v>
      </c>
      <c r="E49" s="20" t="n">
        <v>44557</v>
      </c>
      <c r="F49" s="20" t="n">
        <v>133451</v>
      </c>
      <c r="L49" s="23" t="n">
        <f aca="false">E49*Inputs!$C$43/1000000+F49*Inputs!$C$44/1000000</f>
        <v>1.2678945</v>
      </c>
      <c r="M49" s="23" t="n">
        <f aca="false">L49*(1-Inputs!$C$47)</f>
        <v>0.63394725</v>
      </c>
      <c r="P49" s="8" t="s">
        <v>239</v>
      </c>
    </row>
    <row r="50" customFormat="false" ht="15" hidden="false" customHeight="true" outlineLevel="0" collapsed="false">
      <c r="B50" s="6" t="s">
        <v>240</v>
      </c>
      <c r="E50" s="35" t="n">
        <f aca="false">E49/17*500</f>
        <v>1310500</v>
      </c>
      <c r="F50" s="35" t="n">
        <f aca="false">F49/17*500</f>
        <v>3925029.41176471</v>
      </c>
      <c r="L50" s="23" t="n">
        <f aca="false">E50*Inputs!$C$43/1000000+F50*Inputs!$C$44/1000000</f>
        <v>37.2910147058824</v>
      </c>
      <c r="M50" s="23" t="n">
        <f aca="false">L50*(1-Inputs!$C$47)</f>
        <v>18.6455073529412</v>
      </c>
      <c r="P50" s="8" t="s">
        <v>241</v>
      </c>
    </row>
    <row r="52" customFormat="false" ht="15.75" hidden="false" customHeight="true" outlineLevel="0" collapsed="false">
      <c r="B52" s="4" t="s">
        <v>242</v>
      </c>
      <c r="C52" s="4"/>
      <c r="D52" s="4"/>
      <c r="E52" s="4"/>
      <c r="F52" s="4"/>
      <c r="G52" s="4"/>
      <c r="H52" s="4"/>
      <c r="I52" s="4"/>
      <c r="J52" s="4"/>
      <c r="K52" s="4"/>
      <c r="L52" s="4"/>
      <c r="M52" s="4"/>
      <c r="N52" s="4"/>
      <c r="O52" s="4"/>
      <c r="P52" s="4"/>
    </row>
    <row r="53" customFormat="false" ht="43.5" hidden="false" customHeight="true" outlineLevel="0" collapsed="false">
      <c r="B53" s="5" t="s">
        <v>243</v>
      </c>
      <c r="C53" s="5" t="s">
        <v>244</v>
      </c>
      <c r="D53" s="5"/>
      <c r="E53" s="5" t="s">
        <v>245</v>
      </c>
      <c r="F53" s="5"/>
      <c r="G53" s="5"/>
      <c r="L53" s="5" t="s">
        <v>246</v>
      </c>
      <c r="M53" s="5" t="s">
        <v>247</v>
      </c>
      <c r="P53" s="5" t="s">
        <v>248</v>
      </c>
    </row>
    <row r="54" customFormat="false" ht="15" hidden="false" customHeight="true" outlineLevel="0" collapsed="false">
      <c r="B54" s="6" t="s">
        <v>249</v>
      </c>
      <c r="C54" s="29" t="s">
        <v>85</v>
      </c>
      <c r="D54" s="29"/>
      <c r="E54" s="29" t="s">
        <v>87</v>
      </c>
      <c r="F54" s="29"/>
      <c r="L54" s="31" t="n">
        <f aca="false">($E$24*INDEX(Inputs!$C$31:$C$36,MATCH($C54,Inputs!$B$31:$B$36,0))+$F$24*INDEX(Inputs!$D$31:$D$36,MATCH($C54,Inputs!$B$31:$B$36,0))+$G$24*INDEX(Inputs!$C$31:$C$36,MATCH($E54,Inputs!$B$31:$B$36,0))+$H$24*INDEX(Inputs!$D$31:$D$36,MATCH($E54,Inputs!$B$31:$B$36,0)))/1000000+($E$25*INDEX(Inputs!$C$31:$C$36,MATCH($C54,Inputs!$B$31:$B$36,0))+$F$25*INDEX(Inputs!$D$31:$D$36,MATCH($C54,Inputs!$B$31:$B$36,0))+$G$25*INDEX(Inputs!$C$31:$C$36,MATCH($E54,Inputs!$B$31:$B$36,0))+$H$25*INDEX(Inputs!$D$31:$D$36,MATCH($E54,Inputs!$B$31:$B$36,0)))/1000000*Inputs!$C$11</f>
        <v>0.503937</v>
      </c>
      <c r="M54" s="23" t="n">
        <f aca="false">$E$38*L54+$E$39*($E$26*INDEX(Inputs!$C$31:$C$36,MATCH($C54,Inputs!$B$31:$B$36,0))+$F$26*INDEX(Inputs!$D$31:$D$36,MATCH($C54,Inputs!$B$31:$B$36,0))+$G$26*INDEX(Inputs!$C$31:$C$36,MATCH($E54,Inputs!$B$31:$B$36,0))+$H$26*INDEX(Inputs!$D$31:$D$36,MATCH($E54,Inputs!$B$31:$B$36,0)))/1000000+$E$40*($E$30*INDEX(Inputs!$C$31:$C$36,MATCH($C54,Inputs!$B$31:$B$36,0))+$F$30*INDEX(Inputs!$D$31:$D$36,MATCH($C54,Inputs!$B$31:$B$36,0)))/1000000+$E$41*($E$31*INDEX(Inputs!$C$31:$C$36,MATCH($E54,Inputs!$B$31:$B$36,0))+$F$31*INDEX(Inputs!$D$31:$D$36,MATCH($E54,Inputs!$B$31:$B$36,0)))/1000000+$E$42*(Inputs!$C$25*($E$24*INDEX(Inputs!$C$31:$C$36,MATCH($C54,Inputs!$B$31:$B$36,0))+$F$24*INDEX(Inputs!$D$31:$D$36,MATCH($C54,Inputs!$B$31:$B$36,0))+$G$24*INDEX(Inputs!$C$31:$C$36,MATCH($E54,Inputs!$B$31:$B$36,0))+$H$24*INDEX(Inputs!$D$31:$D$36,MATCH($E54,Inputs!$B$31:$B$36,0)))/1000000+Inputs!$C$26*($E$25*INDEX(Inputs!$C$31:$C$36,MATCH($C54,Inputs!$B$31:$B$36,0))+$F$25*INDEX(Inputs!$D$31:$D$36,MATCH($C54,Inputs!$B$31:$B$36,0))+$G$25*INDEX(Inputs!$C$31:$C$36,MATCH($E54,Inputs!$B$31:$B$36,0))+$H$25*INDEX(Inputs!$D$31:$D$36,MATCH($E54,Inputs!$B$31:$B$36,0)))/1000000+Inputs!$C$27*($E$26*INDEX(Inputs!$C$31:$C$36,MATCH($C54,Inputs!$B$31:$B$36,0))+$F$26*INDEX(Inputs!$D$31:$D$36,MATCH($C54,Inputs!$B$31:$B$36,0))+$G$26*INDEX(Inputs!$C$31:$C$36,MATCH($E54,Inputs!$B$31:$B$36,0))+$H$26*INDEX(Inputs!$D$31:$D$36,MATCH($E54,Inputs!$B$31:$B$36,0)))/1000000)*Inputs!$C$24</f>
        <v>15.6426162</v>
      </c>
      <c r="P54" s="8" t="s">
        <v>250</v>
      </c>
    </row>
    <row r="55" customFormat="false" ht="15" hidden="false" customHeight="true" outlineLevel="0" collapsed="false">
      <c r="B55" s="6" t="s">
        <v>251</v>
      </c>
      <c r="C55" s="29" t="s">
        <v>89</v>
      </c>
      <c r="D55" s="29"/>
      <c r="E55" s="29" t="s">
        <v>87</v>
      </c>
      <c r="F55" s="29"/>
      <c r="L55" s="31" t="n">
        <f aca="false">($E$24*INDEX(Inputs!$C$31:$C$36,MATCH($C55,Inputs!$B$31:$B$36,0))+$F$24*INDEX(Inputs!$D$31:$D$36,MATCH($C55,Inputs!$B$31:$B$36,0))+$G$24*INDEX(Inputs!$C$31:$C$36,MATCH($E55,Inputs!$B$31:$B$36,0))+$H$24*INDEX(Inputs!$D$31:$D$36,MATCH($E55,Inputs!$B$31:$B$36,0)))/1000000+($E$25*INDEX(Inputs!$C$31:$C$36,MATCH($C55,Inputs!$B$31:$B$36,0))+$F$25*INDEX(Inputs!$D$31:$D$36,MATCH($C55,Inputs!$B$31:$B$36,0))+$G$25*INDEX(Inputs!$C$31:$C$36,MATCH($E55,Inputs!$B$31:$B$36,0))+$H$25*INDEX(Inputs!$D$31:$D$36,MATCH($E55,Inputs!$B$31:$B$36,0)))/1000000*Inputs!$C$11</f>
        <v>0.232437</v>
      </c>
      <c r="M55" s="23" t="n">
        <f aca="false">$E$38*L55+$E$39*($E$26*INDEX(Inputs!$C$31:$C$36,MATCH($C55,Inputs!$B$31:$B$36,0))+$F$26*INDEX(Inputs!$D$31:$D$36,MATCH($C55,Inputs!$B$31:$B$36,0))+$G$26*INDEX(Inputs!$C$31:$C$36,MATCH($E55,Inputs!$B$31:$B$36,0))+$H$26*INDEX(Inputs!$D$31:$D$36,MATCH($E55,Inputs!$B$31:$B$36,0)))/1000000+$E$40*($E$30*INDEX(Inputs!$C$31:$C$36,MATCH($C55,Inputs!$B$31:$B$36,0))+$F$30*INDEX(Inputs!$D$31:$D$36,MATCH($C55,Inputs!$B$31:$B$36,0)))/1000000+$E$41*($E$31*INDEX(Inputs!$C$31:$C$36,MATCH($E55,Inputs!$B$31:$B$36,0))+$F$31*INDEX(Inputs!$D$31:$D$36,MATCH($E55,Inputs!$B$31:$B$36,0)))/1000000+$E$42*(Inputs!$C$25*($E$24*INDEX(Inputs!$C$31:$C$36,MATCH($C55,Inputs!$B$31:$B$36,0))+$F$24*INDEX(Inputs!$D$31:$D$36,MATCH($C55,Inputs!$B$31:$B$36,0))+$G$24*INDEX(Inputs!$C$31:$C$36,MATCH($E55,Inputs!$B$31:$B$36,0))+$H$24*INDEX(Inputs!$D$31:$D$36,MATCH($E55,Inputs!$B$31:$B$36,0)))/1000000+Inputs!$C$26*($E$25*INDEX(Inputs!$C$31:$C$36,MATCH($C55,Inputs!$B$31:$B$36,0))+$F$25*INDEX(Inputs!$D$31:$D$36,MATCH($C55,Inputs!$B$31:$B$36,0))+$G$25*INDEX(Inputs!$C$31:$C$36,MATCH($E55,Inputs!$B$31:$B$36,0))+$H$25*INDEX(Inputs!$D$31:$D$36,MATCH($E55,Inputs!$B$31:$B$36,0)))/1000000+Inputs!$C$27*($E$26*INDEX(Inputs!$C$31:$C$36,MATCH($C55,Inputs!$B$31:$B$36,0))+$F$26*INDEX(Inputs!$D$31:$D$36,MATCH($C55,Inputs!$B$31:$B$36,0))+$G$26*INDEX(Inputs!$C$31:$C$36,MATCH($E55,Inputs!$B$31:$B$36,0))+$H$26*INDEX(Inputs!$D$31:$D$36,MATCH($E55,Inputs!$B$31:$B$36,0)))/1000000)*Inputs!$C$24</f>
        <v>7.303742325</v>
      </c>
      <c r="P55" s="8" t="s">
        <v>252</v>
      </c>
    </row>
    <row r="56" customFormat="false" ht="15" hidden="false" customHeight="true" outlineLevel="0" collapsed="false">
      <c r="B56" s="6" t="s">
        <v>253</v>
      </c>
      <c r="C56" s="29" t="s">
        <v>91</v>
      </c>
      <c r="D56" s="29"/>
      <c r="E56" s="29" t="s">
        <v>87</v>
      </c>
      <c r="F56" s="29"/>
      <c r="L56" s="31" t="n">
        <f aca="false">($E$24*INDEX(Inputs!$C$31:$C$36,MATCH($C56,Inputs!$B$31:$B$36,0))+$F$24*INDEX(Inputs!$D$31:$D$36,MATCH($C56,Inputs!$B$31:$B$36,0))+$G$24*INDEX(Inputs!$C$31:$C$36,MATCH($E56,Inputs!$B$31:$B$36,0))+$H$24*INDEX(Inputs!$D$31:$D$36,MATCH($E56,Inputs!$B$31:$B$36,0)))/1000000+($E$25*INDEX(Inputs!$C$31:$C$36,MATCH($C56,Inputs!$B$31:$B$36,0))+$F$25*INDEX(Inputs!$D$31:$D$36,MATCH($C56,Inputs!$B$31:$B$36,0))+$G$25*INDEX(Inputs!$C$31:$C$36,MATCH($E56,Inputs!$B$31:$B$36,0))+$H$25*INDEX(Inputs!$D$31:$D$36,MATCH($E56,Inputs!$B$31:$B$36,0)))/1000000*Inputs!$C$11</f>
        <v>0.442662</v>
      </c>
      <c r="M56" s="23" t="n">
        <f aca="false">$E$38*L56+$E$39*($E$26*INDEX(Inputs!$C$31:$C$36,MATCH($C56,Inputs!$B$31:$B$36,0))+$F$26*INDEX(Inputs!$D$31:$D$36,MATCH($C56,Inputs!$B$31:$B$36,0))+$G$26*INDEX(Inputs!$C$31:$C$36,MATCH($E56,Inputs!$B$31:$B$36,0))+$H$26*INDEX(Inputs!$D$31:$D$36,MATCH($E56,Inputs!$B$31:$B$36,0)))/1000000+$E$40*($E$30*INDEX(Inputs!$C$31:$C$36,MATCH($C56,Inputs!$B$31:$B$36,0))+$F$30*INDEX(Inputs!$D$31:$D$36,MATCH($C56,Inputs!$B$31:$B$36,0)))/1000000+$E$41*($E$31*INDEX(Inputs!$C$31:$C$36,MATCH($E56,Inputs!$B$31:$B$36,0))+$F$31*INDEX(Inputs!$D$31:$D$36,MATCH($E56,Inputs!$B$31:$B$36,0)))/1000000+$E$42*(Inputs!$C$25*($E$24*INDEX(Inputs!$C$31:$C$36,MATCH($C56,Inputs!$B$31:$B$36,0))+$F$24*INDEX(Inputs!$D$31:$D$36,MATCH($C56,Inputs!$B$31:$B$36,0))+$G$24*INDEX(Inputs!$C$31:$C$36,MATCH($E56,Inputs!$B$31:$B$36,0))+$H$24*INDEX(Inputs!$D$31:$D$36,MATCH($E56,Inputs!$B$31:$B$36,0)))/1000000+Inputs!$C$26*($E$25*INDEX(Inputs!$C$31:$C$36,MATCH($C56,Inputs!$B$31:$B$36,0))+$F$25*INDEX(Inputs!$D$31:$D$36,MATCH($C56,Inputs!$B$31:$B$36,0))+$G$25*INDEX(Inputs!$C$31:$C$36,MATCH($E56,Inputs!$B$31:$B$36,0))+$H$25*INDEX(Inputs!$D$31:$D$36,MATCH($E56,Inputs!$B$31:$B$36,0)))/1000000+Inputs!$C$27*($E$26*INDEX(Inputs!$C$31:$C$36,MATCH($C56,Inputs!$B$31:$B$36,0))+$F$26*INDEX(Inputs!$D$31:$D$36,MATCH($C56,Inputs!$B$31:$B$36,0))+$G$26*INDEX(Inputs!$C$31:$C$36,MATCH($E56,Inputs!$B$31:$B$36,0))+$H$26*INDEX(Inputs!$D$31:$D$36,MATCH($E56,Inputs!$B$31:$B$36,0)))/1000000)*Inputs!$C$24</f>
        <v>13.74028995</v>
      </c>
      <c r="P56" s="8" t="s">
        <v>254</v>
      </c>
    </row>
    <row r="57" customFormat="false" ht="15" hidden="false" customHeight="true" outlineLevel="0" collapsed="false">
      <c r="B57" s="6" t="s">
        <v>255</v>
      </c>
      <c r="C57" s="29" t="s">
        <v>93</v>
      </c>
      <c r="D57" s="29"/>
      <c r="E57" s="29" t="s">
        <v>93</v>
      </c>
      <c r="F57" s="29"/>
      <c r="L57" s="31" t="n">
        <f aca="false">($E$24*INDEX(Inputs!$C$31:$C$36,MATCH($C57,Inputs!$B$31:$B$36,0))+$F$24*INDEX(Inputs!$D$31:$D$36,MATCH($C57,Inputs!$B$31:$B$36,0))+$G$24*INDEX(Inputs!$C$31:$C$36,MATCH($E57,Inputs!$B$31:$B$36,0))+$H$24*INDEX(Inputs!$D$31:$D$36,MATCH($E57,Inputs!$B$31:$B$36,0)))/1000000+($E$25*INDEX(Inputs!$C$31:$C$36,MATCH($C57,Inputs!$B$31:$B$36,0))+$F$25*INDEX(Inputs!$D$31:$D$36,MATCH($C57,Inputs!$B$31:$B$36,0))+$G$25*INDEX(Inputs!$C$31:$C$36,MATCH($E57,Inputs!$B$31:$B$36,0))+$H$25*INDEX(Inputs!$D$31:$D$36,MATCH($E57,Inputs!$B$31:$B$36,0)))/1000000*Inputs!$C$11</f>
        <v>0.0950175</v>
      </c>
      <c r="M57" s="23" t="n">
        <f aca="false">$E$38*L57+$E$39*($E$26*INDEX(Inputs!$C$31:$C$36,MATCH($C57,Inputs!$B$31:$B$36,0))+$F$26*INDEX(Inputs!$D$31:$D$36,MATCH($C57,Inputs!$B$31:$B$36,0))+$G$26*INDEX(Inputs!$C$31:$C$36,MATCH($E57,Inputs!$B$31:$B$36,0))+$H$26*INDEX(Inputs!$D$31:$D$36,MATCH($E57,Inputs!$B$31:$B$36,0)))/1000000+$E$40*($E$30*INDEX(Inputs!$C$31:$C$36,MATCH($C57,Inputs!$B$31:$B$36,0))+$F$30*INDEX(Inputs!$D$31:$D$36,MATCH($C57,Inputs!$B$31:$B$36,0)))/1000000+$E$41*($E$31*INDEX(Inputs!$C$31:$C$36,MATCH($E57,Inputs!$B$31:$B$36,0))+$F$31*INDEX(Inputs!$D$31:$D$36,MATCH($E57,Inputs!$B$31:$B$36,0)))/1000000+$E$42*(Inputs!$C$25*($E$24*INDEX(Inputs!$C$31:$C$36,MATCH($C57,Inputs!$B$31:$B$36,0))+$F$24*INDEX(Inputs!$D$31:$D$36,MATCH($C57,Inputs!$B$31:$B$36,0))+$G$24*INDEX(Inputs!$C$31:$C$36,MATCH($E57,Inputs!$B$31:$B$36,0))+$H$24*INDEX(Inputs!$D$31:$D$36,MATCH($E57,Inputs!$B$31:$B$36,0)))/1000000+Inputs!$C$26*($E$25*INDEX(Inputs!$C$31:$C$36,MATCH($C57,Inputs!$B$31:$B$36,0))+$F$25*INDEX(Inputs!$D$31:$D$36,MATCH($C57,Inputs!$B$31:$B$36,0))+$G$25*INDEX(Inputs!$C$31:$C$36,MATCH($E57,Inputs!$B$31:$B$36,0))+$H$25*INDEX(Inputs!$D$31:$D$36,MATCH($E57,Inputs!$B$31:$B$36,0)))/1000000+Inputs!$C$27*($E$26*INDEX(Inputs!$C$31:$C$36,MATCH($C57,Inputs!$B$31:$B$36,0))+$F$26*INDEX(Inputs!$D$31:$D$36,MATCH($C57,Inputs!$B$31:$B$36,0))+$G$26*INDEX(Inputs!$C$31:$C$36,MATCH($E57,Inputs!$B$31:$B$36,0))+$H$26*INDEX(Inputs!$D$31:$D$36,MATCH($E57,Inputs!$B$31:$B$36,0)))/1000000)*Inputs!$C$24</f>
        <v>3.037977</v>
      </c>
      <c r="P57" s="8" t="s">
        <v>256</v>
      </c>
    </row>
    <row r="59" customFormat="false" ht="15.75" hidden="false" customHeight="true" outlineLevel="0" collapsed="false">
      <c r="B59" s="4" t="s">
        <v>257</v>
      </c>
      <c r="C59" s="4"/>
      <c r="D59" s="4"/>
      <c r="E59" s="4"/>
      <c r="F59" s="4"/>
      <c r="G59" s="4"/>
      <c r="H59" s="4"/>
      <c r="I59" s="4"/>
      <c r="J59" s="4"/>
      <c r="K59" s="4"/>
      <c r="L59" s="4"/>
      <c r="M59" s="4"/>
      <c r="N59" s="4"/>
      <c r="O59" s="4"/>
      <c r="P59" s="4"/>
    </row>
    <row r="60" customFormat="false" ht="31.5" hidden="false" customHeight="true" outlineLevel="0" collapsed="false">
      <c r="B60" s="8" t="s">
        <v>258</v>
      </c>
      <c r="C60" s="8" t="s">
        <v>259</v>
      </c>
      <c r="D60" s="8"/>
      <c r="E60" s="8"/>
      <c r="F60" s="8"/>
      <c r="G60" s="8"/>
      <c r="H60" s="8"/>
      <c r="I60" s="8"/>
      <c r="J60" s="8"/>
      <c r="K60" s="8"/>
      <c r="L60" s="8"/>
      <c r="M60" s="8"/>
      <c r="N60" s="8"/>
      <c r="O60" s="8"/>
      <c r="P60" s="8"/>
    </row>
    <row r="61" customFormat="false" ht="31.5" hidden="false" customHeight="true" outlineLevel="0" collapsed="false">
      <c r="B61" s="8" t="s">
        <v>260</v>
      </c>
      <c r="C61" s="8" t="s">
        <v>261</v>
      </c>
      <c r="D61" s="8"/>
      <c r="E61" s="8"/>
      <c r="F61" s="8"/>
      <c r="G61" s="8"/>
      <c r="H61" s="8"/>
      <c r="I61" s="8"/>
      <c r="J61" s="8"/>
      <c r="K61" s="8"/>
      <c r="L61" s="8"/>
      <c r="M61" s="8"/>
      <c r="N61" s="8"/>
      <c r="O61" s="8"/>
      <c r="P61" s="8"/>
    </row>
    <row r="62" customFormat="false" ht="31.5" hidden="false" customHeight="true" outlineLevel="0" collapsed="false">
      <c r="B62" s="8" t="s">
        <v>262</v>
      </c>
      <c r="C62" s="8" t="s">
        <v>263</v>
      </c>
      <c r="D62" s="8"/>
      <c r="E62" s="8"/>
      <c r="F62" s="8"/>
      <c r="G62" s="8"/>
      <c r="H62" s="8"/>
      <c r="I62" s="8"/>
      <c r="J62" s="8"/>
      <c r="K62" s="8"/>
      <c r="L62" s="8"/>
      <c r="M62" s="8"/>
      <c r="N62" s="8"/>
      <c r="O62" s="8"/>
      <c r="P62" s="8"/>
    </row>
    <row r="63" customFormat="false" ht="31.5" hidden="false" customHeight="true" outlineLevel="0" collapsed="false">
      <c r="B63" s="8" t="s">
        <v>264</v>
      </c>
      <c r="C63" s="8" t="s">
        <v>265</v>
      </c>
      <c r="D63" s="8"/>
      <c r="E63" s="8"/>
      <c r="F63" s="8"/>
      <c r="G63" s="8"/>
      <c r="H63" s="8"/>
      <c r="I63" s="8"/>
      <c r="J63" s="8"/>
      <c r="K63" s="8"/>
      <c r="L63" s="8"/>
      <c r="M63" s="8"/>
      <c r="N63" s="8"/>
      <c r="O63" s="8"/>
      <c r="P63" s="8"/>
    </row>
    <row r="64" customFormat="false" ht="31.5" hidden="false" customHeight="true" outlineLevel="0" collapsed="false">
      <c r="B64" s="8" t="s">
        <v>266</v>
      </c>
      <c r="C64" s="8" t="s">
        <v>267</v>
      </c>
      <c r="D64" s="8"/>
      <c r="E64" s="8"/>
      <c r="F64" s="8"/>
      <c r="G64" s="8"/>
      <c r="H64" s="8"/>
      <c r="I64" s="8"/>
      <c r="J64" s="8"/>
      <c r="K64" s="8"/>
      <c r="L64" s="8"/>
      <c r="M64" s="8"/>
      <c r="N64" s="8"/>
      <c r="O64" s="8"/>
      <c r="P64" s="8"/>
    </row>
  </sheetData>
  <mergeCells count="22">
    <mergeCell ref="B5:P5"/>
    <mergeCell ref="B28:P28"/>
    <mergeCell ref="B33:P33"/>
    <mergeCell ref="B36:P36"/>
    <mergeCell ref="B47:P47"/>
    <mergeCell ref="B52:P52"/>
    <mergeCell ref="C53:D53"/>
    <mergeCell ref="E53:F53"/>
    <mergeCell ref="C54:D54"/>
    <mergeCell ref="E54:F54"/>
    <mergeCell ref="C55:D55"/>
    <mergeCell ref="E55:F55"/>
    <mergeCell ref="C56:D56"/>
    <mergeCell ref="E56:F56"/>
    <mergeCell ref="C57:D57"/>
    <mergeCell ref="E57:F57"/>
    <mergeCell ref="B59:P59"/>
    <mergeCell ref="C60:P60"/>
    <mergeCell ref="C61:P61"/>
    <mergeCell ref="C62:P62"/>
    <mergeCell ref="C63:P63"/>
    <mergeCell ref="C64:P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18"/>
    <col collapsed="false" customWidth="true" hidden="false" outlineLevel="0" max="4" min="4" style="1" width="4"/>
    <col collapsed="false" customWidth="true" hidden="false" outlineLevel="0" max="5" min="5" style="1" width="46"/>
    <col collapsed="false" customWidth="true" hidden="false" outlineLevel="0" max="6" min="6" style="1" width="18"/>
  </cols>
  <sheetData>
    <row r="2" customFormat="false" ht="19.5" hidden="false" customHeight="true" outlineLevel="0" collapsed="false">
      <c r="B2" s="2" t="s">
        <v>268</v>
      </c>
    </row>
    <row r="3" customFormat="false" ht="15" hidden="false" customHeight="true" outlineLevel="0" collapsed="false">
      <c r="B3" s="3" t="s">
        <v>269</v>
      </c>
    </row>
    <row r="5" customFormat="false" ht="15.75" hidden="false" customHeight="true" outlineLevel="0" collapsed="false">
      <c r="B5" s="4" t="s">
        <v>270</v>
      </c>
      <c r="C5" s="4"/>
      <c r="E5" s="4" t="s">
        <v>271</v>
      </c>
      <c r="F5" s="4"/>
    </row>
    <row r="6" customFormat="false" ht="15" hidden="false" customHeight="true" outlineLevel="0" collapsed="false">
      <c r="B6" s="5" t="s">
        <v>272</v>
      </c>
      <c r="C6" s="5" t="s">
        <v>273</v>
      </c>
      <c r="E6" s="5" t="s">
        <v>272</v>
      </c>
      <c r="F6" s="5" t="s">
        <v>273</v>
      </c>
    </row>
    <row r="7" customFormat="false" ht="15" hidden="false" customHeight="true" outlineLevel="0" collapsed="false">
      <c r="B7" s="6" t="s">
        <v>274</v>
      </c>
      <c r="C7" s="20" t="n">
        <v>17</v>
      </c>
      <c r="E7" s="6" t="s">
        <v>275</v>
      </c>
      <c r="F7" s="30" t="n">
        <f aca="false">Inputs!$C$15</f>
        <v>6</v>
      </c>
    </row>
    <row r="8" customFormat="false" ht="15" hidden="false" customHeight="true" outlineLevel="0" collapsed="false">
      <c r="B8" s="6" t="s">
        <v>276</v>
      </c>
      <c r="C8" s="20" t="n">
        <v>231</v>
      </c>
      <c r="E8" s="6" t="s">
        <v>277</v>
      </c>
      <c r="F8" s="35" t="n">
        <f aca="false">C11</f>
        <v>977.235294117647</v>
      </c>
    </row>
    <row r="9" customFormat="false" ht="15" hidden="false" customHeight="true" outlineLevel="0" collapsed="false">
      <c r="B9" s="6" t="s">
        <v>278</v>
      </c>
      <c r="C9" s="20" t="n">
        <v>16613</v>
      </c>
      <c r="E9" s="6" t="s">
        <v>279</v>
      </c>
      <c r="F9" s="35" t="n">
        <f aca="false">F7*F8</f>
        <v>5863.41176470588</v>
      </c>
    </row>
    <row r="10" customFormat="false" ht="15" hidden="false" customHeight="true" outlineLevel="0" collapsed="false">
      <c r="B10" s="6" t="s">
        <v>280</v>
      </c>
      <c r="C10" s="35" t="n">
        <f aca="false">C9/C8</f>
        <v>71.9177489177489</v>
      </c>
      <c r="E10" s="6" t="s">
        <v>281</v>
      </c>
      <c r="F10" s="9" t="n">
        <f aca="false">Inputs!$C$37</f>
        <v>0.15</v>
      </c>
    </row>
    <row r="11" customFormat="false" ht="15" hidden="false" customHeight="true" outlineLevel="0" collapsed="false">
      <c r="B11" s="6" t="s">
        <v>277</v>
      </c>
      <c r="C11" s="35" t="n">
        <f aca="false">C9/C7</f>
        <v>977.235294117647</v>
      </c>
      <c r="E11" s="6" t="s">
        <v>282</v>
      </c>
      <c r="F11" s="33" t="n">
        <f aca="false">F9*F10/1000000</f>
        <v>0.000879511764705882</v>
      </c>
    </row>
    <row r="12" customFormat="false" ht="15" hidden="false" customHeight="true" outlineLevel="0" collapsed="false">
      <c r="B12" s="6" t="s">
        <v>281</v>
      </c>
      <c r="C12" s="9" t="n">
        <f aca="false">Inputs!$C$37</f>
        <v>0.15</v>
      </c>
    </row>
    <row r="13" customFormat="false" ht="15" hidden="false" customHeight="true" outlineLevel="0" collapsed="false">
      <c r="B13" s="6" t="s">
        <v>283</v>
      </c>
      <c r="C13" s="33" t="n">
        <f aca="false">C9*C12/1000000</f>
        <v>0.00249195</v>
      </c>
    </row>
    <row r="15" customFormat="false" ht="15.75" hidden="false" customHeight="true" outlineLevel="0" collapsed="false">
      <c r="B15" s="4" t="s">
        <v>284</v>
      </c>
      <c r="C15" s="4"/>
      <c r="E15" s="4" t="s">
        <v>285</v>
      </c>
      <c r="F15" s="4"/>
    </row>
    <row r="16" customFormat="false" ht="15" hidden="false" customHeight="true" outlineLevel="0" collapsed="false">
      <c r="B16" s="5" t="s">
        <v>272</v>
      </c>
      <c r="C16" s="5" t="s">
        <v>273</v>
      </c>
      <c r="E16" s="5" t="s">
        <v>272</v>
      </c>
      <c r="F16" s="5" t="s">
        <v>286</v>
      </c>
    </row>
    <row r="17" customFormat="false" ht="15" hidden="false" customHeight="true" outlineLevel="0" collapsed="false">
      <c r="B17" s="8" t="s">
        <v>287</v>
      </c>
      <c r="C17" s="20" t="n">
        <v>10</v>
      </c>
      <c r="E17" s="6" t="s">
        <v>288</v>
      </c>
      <c r="F17" s="31" t="n">
        <f aca="false">C13</f>
        <v>0.00249195</v>
      </c>
    </row>
    <row r="18" customFormat="false" ht="15" hidden="false" customHeight="true" outlineLevel="0" collapsed="false">
      <c r="B18" s="8" t="s">
        <v>280</v>
      </c>
      <c r="C18" s="35" t="n">
        <f aca="false">C10</f>
        <v>71.9177489177489</v>
      </c>
      <c r="E18" s="6" t="s">
        <v>289</v>
      </c>
      <c r="F18" s="31" t="n">
        <f aca="false">F11</f>
        <v>0.000879511764705882</v>
      </c>
    </row>
    <row r="19" customFormat="false" ht="31.5" hidden="false" customHeight="true" outlineLevel="0" collapsed="false">
      <c r="B19" s="8" t="s">
        <v>290</v>
      </c>
      <c r="C19" s="10" t="n">
        <f aca="false">Inference!$E$38*(1+Inputs!$C$11)</f>
        <v>9.1</v>
      </c>
      <c r="E19" s="6" t="s">
        <v>291</v>
      </c>
      <c r="F19" s="31" t="n">
        <f aca="false">C22</f>
        <v>0.000981677272727273</v>
      </c>
    </row>
    <row r="20" customFormat="false" ht="15" hidden="false" customHeight="true" outlineLevel="0" collapsed="false">
      <c r="B20" s="8" t="s">
        <v>279</v>
      </c>
      <c r="C20" s="35" t="n">
        <f aca="false">C17*C18*C19</f>
        <v>6544.51515151515</v>
      </c>
      <c r="E20" s="24" t="s">
        <v>292</v>
      </c>
      <c r="F20" s="33" t="n">
        <f aca="false">F18+F19</f>
        <v>0.00186118903743316</v>
      </c>
    </row>
    <row r="21" customFormat="false" ht="15" hidden="false" customHeight="true" outlineLevel="0" collapsed="false">
      <c r="B21" s="8" t="s">
        <v>281</v>
      </c>
      <c r="C21" s="9" t="n">
        <f aca="false">Inputs!$C$37</f>
        <v>0.15</v>
      </c>
      <c r="E21" s="6" t="s">
        <v>293</v>
      </c>
      <c r="F21" s="31" t="n">
        <f aca="false">C11*500*C12/1000000</f>
        <v>0.0732926470588235</v>
      </c>
    </row>
    <row r="22" customFormat="false" ht="15" hidden="false" customHeight="true" outlineLevel="0" collapsed="false">
      <c r="B22" s="8" t="s">
        <v>282</v>
      </c>
      <c r="C22" s="33" t="n">
        <f aca="false">C20*C21/1000000</f>
        <v>0.000981677272727273</v>
      </c>
    </row>
    <row r="24" customFormat="false" ht="15" hidden="false" customHeight="true" outlineLevel="0" collapsed="false">
      <c r="B24" s="3" t="s">
        <v>294</v>
      </c>
    </row>
  </sheetData>
  <mergeCells count="4">
    <mergeCell ref="B5:C5"/>
    <mergeCell ref="E5:F5"/>
    <mergeCell ref="B15:C15"/>
    <mergeCell ref="E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0"/>
    <col collapsed="false" customWidth="true" hidden="false" outlineLevel="0" max="3" min="3" style="1" width="18"/>
    <col collapsed="false" customWidth="true" hidden="false" outlineLevel="0" max="4" min="4" style="1" width="66"/>
  </cols>
  <sheetData>
    <row r="2" customFormat="false" ht="19.5" hidden="false" customHeight="true" outlineLevel="0" collapsed="false">
      <c r="B2" s="2" t="s">
        <v>295</v>
      </c>
    </row>
    <row r="3" customFormat="false" ht="15" hidden="false" customHeight="true" outlineLevel="0" collapsed="false">
      <c r="B3" s="3" t="s">
        <v>296</v>
      </c>
    </row>
    <row r="5" customFormat="false" ht="30" hidden="false" customHeight="true" outlineLevel="0" collapsed="false">
      <c r="B5" s="4" t="s">
        <v>297</v>
      </c>
      <c r="C5" s="4"/>
      <c r="D5" s="4"/>
    </row>
    <row r="6" customFormat="false" ht="30" hidden="false" customHeight="true" outlineLevel="0" collapsed="false">
      <c r="B6" s="5" t="s">
        <v>272</v>
      </c>
      <c r="C6" s="5" t="s">
        <v>273</v>
      </c>
      <c r="D6" s="5" t="s">
        <v>298</v>
      </c>
    </row>
    <row r="7" customFormat="false" ht="30" hidden="false" customHeight="true" outlineLevel="0" collapsed="false">
      <c r="B7" s="6" t="s">
        <v>299</v>
      </c>
      <c r="C7" s="10" t="n">
        <f aca="false">Inputs!$C$9</f>
        <v>3.5</v>
      </c>
      <c r="D7" s="8" t="s">
        <v>300</v>
      </c>
    </row>
    <row r="8" customFormat="false" ht="30" hidden="false" customHeight="true" outlineLevel="0" collapsed="false">
      <c r="B8" s="6" t="s">
        <v>301</v>
      </c>
      <c r="C8" s="36" t="n">
        <v>2</v>
      </c>
      <c r="D8" s="8" t="s">
        <v>302</v>
      </c>
    </row>
    <row r="9" customFormat="false" ht="30" hidden="false" customHeight="true" outlineLevel="0" collapsed="false">
      <c r="B9" s="6" t="s">
        <v>303</v>
      </c>
      <c r="C9" s="36" t="n">
        <v>7</v>
      </c>
      <c r="D9" s="8" t="s">
        <v>304</v>
      </c>
    </row>
    <row r="10" customFormat="false" ht="30" hidden="false" customHeight="true" outlineLevel="0" collapsed="false">
      <c r="B10" s="6" t="s">
        <v>305</v>
      </c>
      <c r="C10" s="17" t="n">
        <v>0.3</v>
      </c>
      <c r="D10" s="8" t="s">
        <v>306</v>
      </c>
    </row>
    <row r="11" customFormat="false" ht="30" hidden="false" customHeight="true" outlineLevel="0" collapsed="false">
      <c r="B11" s="6" t="s">
        <v>307</v>
      </c>
      <c r="C11" s="19" t="n">
        <f aca="false">C8*(1-C10)+C9*C10</f>
        <v>3.5</v>
      </c>
      <c r="D11" s="8" t="s">
        <v>308</v>
      </c>
    </row>
    <row r="12" customFormat="false" ht="30" hidden="false" customHeight="true" outlineLevel="0" collapsed="false">
      <c r="B12" s="6" t="s">
        <v>309</v>
      </c>
      <c r="C12" s="10" t="n">
        <f aca="false">Inputs!$C$10</f>
        <v>4.5</v>
      </c>
      <c r="D12" s="8" t="s">
        <v>300</v>
      </c>
    </row>
    <row r="13" customFormat="false" ht="30" hidden="false" customHeight="true" outlineLevel="0" collapsed="false">
      <c r="B13" s="6" t="s">
        <v>310</v>
      </c>
      <c r="C13" s="36" t="n">
        <v>0.5</v>
      </c>
      <c r="D13" s="8" t="s">
        <v>311</v>
      </c>
    </row>
    <row r="14" customFormat="false" ht="30" hidden="false" customHeight="true" outlineLevel="0" collapsed="false">
      <c r="B14" s="6" t="s">
        <v>312</v>
      </c>
      <c r="C14" s="10" t="n">
        <f aca="false">(Inputs!$C$13-1)*Inputs!$C$6</f>
        <v>4</v>
      </c>
      <c r="D14" s="8" t="s">
        <v>313</v>
      </c>
    </row>
    <row r="15" customFormat="false" ht="30" hidden="false" customHeight="true" outlineLevel="0" collapsed="false">
      <c r="B15" s="6" t="s">
        <v>314</v>
      </c>
      <c r="C15" s="36" t="n">
        <v>1</v>
      </c>
      <c r="D15" s="8" t="s">
        <v>315</v>
      </c>
    </row>
    <row r="16" customFormat="false" ht="30" hidden="false" customHeight="true" outlineLevel="0" collapsed="false">
      <c r="B16" s="24" t="s">
        <v>316</v>
      </c>
      <c r="C16" s="37" t="n">
        <f aca="false">C7*C11+C12*C13+C14*C15</f>
        <v>18.5</v>
      </c>
    </row>
    <row r="17" customFormat="false" ht="30" hidden="false" customHeight="true" outlineLevel="0" collapsed="false"/>
    <row r="18" customFormat="false" ht="30" hidden="false" customHeight="true" outlineLevel="0" collapsed="false">
      <c r="B18" s="4" t="s">
        <v>317</v>
      </c>
      <c r="C18" s="4"/>
      <c r="D18" s="4"/>
    </row>
    <row r="19" customFormat="false" ht="30" hidden="false" customHeight="true" outlineLevel="0" collapsed="false">
      <c r="B19" s="5" t="s">
        <v>272</v>
      </c>
      <c r="C19" s="5" t="s">
        <v>273</v>
      </c>
      <c r="D19" s="5" t="s">
        <v>298</v>
      </c>
    </row>
    <row r="20" customFormat="false" ht="30" hidden="false" customHeight="true" outlineLevel="0" collapsed="false">
      <c r="B20" s="6" t="s">
        <v>318</v>
      </c>
      <c r="C20" s="20" t="n">
        <v>30</v>
      </c>
      <c r="D20" s="8" t="s">
        <v>319</v>
      </c>
    </row>
    <row r="21" customFormat="false" ht="30" hidden="false" customHeight="true" outlineLevel="0" collapsed="false">
      <c r="B21" s="6" t="s">
        <v>320</v>
      </c>
      <c r="C21" s="20" t="n">
        <v>5</v>
      </c>
      <c r="D21" s="8" t="s">
        <v>321</v>
      </c>
    </row>
    <row r="22" customFormat="false" ht="30" hidden="false" customHeight="true" outlineLevel="0" collapsed="false">
      <c r="B22" s="6" t="s">
        <v>322</v>
      </c>
      <c r="C22" s="20" t="n">
        <v>10</v>
      </c>
      <c r="D22" s="8" t="s">
        <v>323</v>
      </c>
    </row>
    <row r="23" customFormat="false" ht="30" hidden="false" customHeight="true" outlineLevel="0" collapsed="false">
      <c r="B23" s="6" t="s">
        <v>324</v>
      </c>
      <c r="C23" s="19" t="n">
        <f aca="false">Inputs!$C$15*57/17</f>
        <v>20.1176470588235</v>
      </c>
      <c r="D23" s="8" t="s">
        <v>325</v>
      </c>
    </row>
    <row r="24" customFormat="false" ht="30" hidden="false" customHeight="true" outlineLevel="0" collapsed="false">
      <c r="B24" s="6" t="s">
        <v>326</v>
      </c>
      <c r="C24" s="20" t="n">
        <v>1</v>
      </c>
      <c r="D24" s="8" t="s">
        <v>327</v>
      </c>
    </row>
    <row r="25" customFormat="false" ht="30" hidden="false" customHeight="true" outlineLevel="0" collapsed="false">
      <c r="B25" s="24" t="s">
        <v>328</v>
      </c>
      <c r="C25" s="37" t="n">
        <f aca="false">('Cost Savings'!$C$7*C20+'Cost Savings'!$C$12*C21+'Cost Savings'!$C$14*C22+C23*C24)/60</f>
        <v>3.12696078431373</v>
      </c>
    </row>
    <row r="26" customFormat="false" ht="30" hidden="false" customHeight="true" outlineLevel="0" collapsed="false"/>
    <row r="27" customFormat="false" ht="30" hidden="false" customHeight="true" outlineLevel="0" collapsed="false">
      <c r="B27" s="4" t="s">
        <v>329</v>
      </c>
      <c r="C27" s="4"/>
      <c r="D27" s="4"/>
    </row>
    <row r="28" customFormat="false" ht="30" hidden="false" customHeight="true" outlineLevel="0" collapsed="false">
      <c r="B28" s="5" t="s">
        <v>272</v>
      </c>
      <c r="C28" s="5" t="s">
        <v>273</v>
      </c>
      <c r="D28" s="5" t="s">
        <v>298</v>
      </c>
    </row>
    <row r="29" customFormat="false" ht="30" hidden="false" customHeight="true" outlineLevel="0" collapsed="false">
      <c r="B29" s="6" t="s">
        <v>330</v>
      </c>
      <c r="C29" s="19" t="n">
        <f aca="false">'Cost Savings'!$C$16-'Cost Savings'!$C$25</f>
        <v>15.3730392156863</v>
      </c>
      <c r="D29" s="8" t="s">
        <v>331</v>
      </c>
    </row>
    <row r="30" customFormat="false" ht="30" hidden="false" customHeight="true" outlineLevel="0" collapsed="false">
      <c r="B30" s="6" t="s">
        <v>25</v>
      </c>
      <c r="C30" s="38" t="n">
        <f aca="false">IF('Cost Savings'!$C$16=0,0,('Cost Savings'!$C$16-'Cost Savings'!$C$25)/'Cost Savings'!$C$16)</f>
        <v>0.830975092739799</v>
      </c>
      <c r="D30" s="8"/>
    </row>
    <row r="31" customFormat="false" ht="30" hidden="false" customHeight="true" outlineLevel="0" collapsed="false">
      <c r="B31" s="6" t="s">
        <v>332</v>
      </c>
      <c r="C31" s="39" t="n">
        <f aca="false">Inputs!$C$57</f>
        <v>60</v>
      </c>
      <c r="D31" s="8" t="s">
        <v>333</v>
      </c>
    </row>
    <row r="32" customFormat="false" ht="30" hidden="false" customHeight="true" outlineLevel="0" collapsed="false">
      <c r="B32" s="24" t="s">
        <v>334</v>
      </c>
      <c r="C32" s="25" t="n">
        <f aca="false">C29*C31</f>
        <v>922.382352941177</v>
      </c>
    </row>
    <row r="33" customFormat="false" ht="30" hidden="false" customHeight="true" outlineLevel="0" collapsed="false"/>
    <row r="34" customFormat="false" ht="30" hidden="false" customHeight="true" outlineLevel="0" collapsed="false">
      <c r="B34" s="4" t="s">
        <v>335</v>
      </c>
      <c r="C34" s="4"/>
      <c r="D34" s="4"/>
    </row>
    <row r="35" customFormat="false" ht="30" hidden="false" customHeight="true" outlineLevel="0" collapsed="false">
      <c r="B35" s="5" t="s">
        <v>272</v>
      </c>
      <c r="C35" s="5" t="s">
        <v>273</v>
      </c>
      <c r="D35" s="5" t="s">
        <v>298</v>
      </c>
    </row>
    <row r="36" customFormat="false" ht="30" hidden="false" customHeight="true" outlineLevel="0" collapsed="false">
      <c r="B36" s="6" t="s">
        <v>336</v>
      </c>
      <c r="C36" s="30" t="n">
        <f aca="false">Inputs!$C$6</f>
        <v>8</v>
      </c>
      <c r="D36" s="8" t="s">
        <v>337</v>
      </c>
    </row>
    <row r="37" customFormat="false" ht="30" hidden="false" customHeight="true" outlineLevel="0" collapsed="false">
      <c r="B37" s="6" t="s">
        <v>338</v>
      </c>
      <c r="C37" s="36" t="n">
        <v>1.5</v>
      </c>
      <c r="D37" s="8" t="s">
        <v>339</v>
      </c>
    </row>
    <row r="38" customFormat="false" ht="30" hidden="false" customHeight="true" outlineLevel="0" collapsed="false">
      <c r="B38" s="6" t="s">
        <v>340</v>
      </c>
      <c r="C38" s="36" t="n">
        <v>0.25</v>
      </c>
      <c r="D38" s="8" t="s">
        <v>341</v>
      </c>
    </row>
    <row r="39" customFormat="false" ht="30" hidden="false" customHeight="true" outlineLevel="0" collapsed="false">
      <c r="B39" s="6" t="s">
        <v>125</v>
      </c>
      <c r="C39" s="39" t="n">
        <f aca="false">Inputs!$C$58</f>
        <v>20</v>
      </c>
      <c r="D39" s="8" t="s">
        <v>337</v>
      </c>
    </row>
    <row r="40" customFormat="false" ht="30" hidden="false" customHeight="true" outlineLevel="0" collapsed="false">
      <c r="B40" s="6" t="s">
        <v>342</v>
      </c>
      <c r="C40" s="23" t="n">
        <f aca="false">C36*C37*C39</f>
        <v>240</v>
      </c>
      <c r="D40" s="8"/>
    </row>
    <row r="41" customFormat="false" ht="30" hidden="false" customHeight="true" outlineLevel="0" collapsed="false">
      <c r="B41" s="6" t="s">
        <v>343</v>
      </c>
      <c r="C41" s="23" t="n">
        <f aca="false">C36*C38*C39</f>
        <v>40</v>
      </c>
      <c r="D41" s="8"/>
    </row>
    <row r="42" customFormat="false" ht="30" hidden="false" customHeight="true" outlineLevel="0" collapsed="false">
      <c r="B42" s="24" t="s">
        <v>344</v>
      </c>
      <c r="C42" s="25" t="n">
        <f aca="false">C40-C41</f>
        <v>200</v>
      </c>
    </row>
    <row r="43" customFormat="false" ht="30" hidden="false" customHeight="true" outlineLevel="0" collapsed="false"/>
    <row r="44" customFormat="false" ht="30" hidden="false" customHeight="true" outlineLevel="0" collapsed="false">
      <c r="B44" s="4" t="s">
        <v>345</v>
      </c>
      <c r="C44" s="4"/>
      <c r="D44" s="4"/>
    </row>
    <row r="45" customFormat="false" ht="30" hidden="false" customHeight="true" outlineLevel="0" collapsed="false">
      <c r="B45" s="5" t="s">
        <v>272</v>
      </c>
      <c r="C45" s="5" t="s">
        <v>273</v>
      </c>
      <c r="D45" s="5" t="s">
        <v>298</v>
      </c>
    </row>
    <row r="46" customFormat="false" ht="30" hidden="false" customHeight="true" outlineLevel="0" collapsed="false">
      <c r="B46" s="6" t="s">
        <v>346</v>
      </c>
      <c r="C46" s="36" t="n">
        <v>0.5</v>
      </c>
      <c r="D46" s="8" t="s">
        <v>347</v>
      </c>
    </row>
    <row r="47" customFormat="false" ht="30" hidden="false" customHeight="true" outlineLevel="0" collapsed="false">
      <c r="B47" s="6" t="s">
        <v>348</v>
      </c>
      <c r="C47" s="39" t="n">
        <f aca="false">Inputs!$C$61</f>
        <v>1411.76470588235</v>
      </c>
      <c r="D47" s="8" t="s">
        <v>349</v>
      </c>
    </row>
    <row r="48" customFormat="false" ht="30" hidden="false" customHeight="true" outlineLevel="0" collapsed="false">
      <c r="B48" s="6" t="s">
        <v>350</v>
      </c>
      <c r="C48" s="17" t="n">
        <v>0.25</v>
      </c>
      <c r="D48" s="8" t="s">
        <v>351</v>
      </c>
    </row>
    <row r="49" customFormat="false" ht="30" hidden="false" customHeight="true" outlineLevel="0" collapsed="false">
      <c r="B49" s="6" t="s">
        <v>352</v>
      </c>
      <c r="C49" s="17" t="n">
        <v>0.1</v>
      </c>
      <c r="D49" s="8" t="s">
        <v>353</v>
      </c>
    </row>
    <row r="50" customFormat="false" ht="30" hidden="false" customHeight="true" outlineLevel="0" collapsed="false">
      <c r="B50" s="6" t="s">
        <v>354</v>
      </c>
      <c r="C50" s="23" t="n">
        <f aca="false">C46*C47</f>
        <v>705.882352941177</v>
      </c>
      <c r="D50" s="8"/>
    </row>
    <row r="51" customFormat="false" ht="30" hidden="false" customHeight="true" outlineLevel="0" collapsed="false">
      <c r="B51" s="6" t="s">
        <v>355</v>
      </c>
      <c r="C51" s="23" t="n">
        <f aca="false">C46*(1-C48)*C47*(1-C49)</f>
        <v>476.470588235294</v>
      </c>
      <c r="D51" s="8"/>
    </row>
    <row r="52" customFormat="false" ht="30" hidden="false" customHeight="true" outlineLevel="0" collapsed="false">
      <c r="B52" s="24" t="s">
        <v>356</v>
      </c>
      <c r="C52" s="25" t="n">
        <f aca="false">C50-C51</f>
        <v>229.411764705882</v>
      </c>
    </row>
    <row r="53" customFormat="false" ht="30" hidden="false" customHeight="true" outlineLevel="0" collapsed="false"/>
    <row r="54" customFormat="false" ht="30" hidden="false" customHeight="true" outlineLevel="0" collapsed="false">
      <c r="B54" s="4" t="s">
        <v>357</v>
      </c>
      <c r="C54" s="4"/>
      <c r="D54" s="4"/>
    </row>
    <row r="55" customFormat="false" ht="30" hidden="false" customHeight="true" outlineLevel="0" collapsed="false">
      <c r="B55" s="5" t="s">
        <v>272</v>
      </c>
      <c r="C55" s="5" t="s">
        <v>273</v>
      </c>
      <c r="D55" s="5" t="s">
        <v>298</v>
      </c>
    </row>
    <row r="56" customFormat="false" ht="30" hidden="false" customHeight="true" outlineLevel="0" collapsed="false">
      <c r="B56" s="6" t="s">
        <v>358</v>
      </c>
      <c r="C56" s="23" t="n">
        <f aca="false">'Cost Savings'!$C$16*Inputs!$C$57</f>
        <v>1110</v>
      </c>
      <c r="D56" s="8" t="s">
        <v>359</v>
      </c>
    </row>
    <row r="57" customFormat="false" ht="30" hidden="false" customHeight="true" outlineLevel="0" collapsed="false">
      <c r="B57" s="6" t="s">
        <v>360</v>
      </c>
      <c r="C57" s="23" t="n">
        <f aca="false">'Cost Savings'!$C$40</f>
        <v>240</v>
      </c>
      <c r="D57" s="8" t="s">
        <v>361</v>
      </c>
    </row>
    <row r="58" customFormat="false" ht="30" hidden="false" customHeight="true" outlineLevel="0" collapsed="false">
      <c r="B58" s="6" t="s">
        <v>362</v>
      </c>
      <c r="C58" s="23" t="n">
        <f aca="false">'Cost Savings'!$C$50</f>
        <v>705.882352941177</v>
      </c>
      <c r="D58" s="8" t="s">
        <v>363</v>
      </c>
    </row>
    <row r="59" customFormat="false" ht="30" hidden="false" customHeight="true" outlineLevel="0" collapsed="false">
      <c r="B59" s="6" t="s">
        <v>364</v>
      </c>
      <c r="C59" s="23" t="n">
        <f aca="false">C56+C57+C58</f>
        <v>2055.88235294118</v>
      </c>
      <c r="D59" s="8"/>
    </row>
    <row r="60" customFormat="false" ht="30" hidden="false" customHeight="true" outlineLevel="0" collapsed="false">
      <c r="B60" s="6" t="s">
        <v>365</v>
      </c>
      <c r="C60" s="23" t="n">
        <f aca="false">'Cost Savings'!$C$25*Inputs!$C$57</f>
        <v>187.617647058824</v>
      </c>
      <c r="D60" s="8" t="s">
        <v>366</v>
      </c>
    </row>
    <row r="61" customFormat="false" ht="30" hidden="false" customHeight="true" outlineLevel="0" collapsed="false">
      <c r="B61" s="6" t="s">
        <v>367</v>
      </c>
      <c r="C61" s="23" t="n">
        <f aca="false">'Cost Savings'!$C$41</f>
        <v>40</v>
      </c>
      <c r="D61" s="8" t="s">
        <v>361</v>
      </c>
    </row>
    <row r="62" customFormat="false" ht="30" hidden="false" customHeight="true" outlineLevel="0" collapsed="false">
      <c r="B62" s="6" t="s">
        <v>368</v>
      </c>
      <c r="C62" s="23" t="n">
        <f aca="false">'Cost Savings'!$C$51</f>
        <v>476.470588235294</v>
      </c>
      <c r="D62" s="8" t="s">
        <v>363</v>
      </c>
    </row>
    <row r="63" customFormat="false" ht="30" hidden="false" customHeight="true" outlineLevel="0" collapsed="false">
      <c r="B63" s="6" t="s">
        <v>369</v>
      </c>
      <c r="C63" s="9" t="n">
        <f aca="false">Inference!$M$43</f>
        <v>15.6426162</v>
      </c>
      <c r="D63" s="8" t="s">
        <v>370</v>
      </c>
    </row>
    <row r="64" customFormat="false" ht="30" hidden="false" customHeight="true" outlineLevel="0" collapsed="false">
      <c r="B64" s="6" t="s">
        <v>371</v>
      </c>
      <c r="C64" s="7" t="n">
        <f aca="false">Embeddings!$F$20</f>
        <v>0.00186118903743316</v>
      </c>
      <c r="D64" s="8" t="s">
        <v>372</v>
      </c>
    </row>
    <row r="65" customFormat="false" ht="30" hidden="false" customHeight="true" outlineLevel="0" collapsed="false">
      <c r="B65" s="6" t="s">
        <v>373</v>
      </c>
      <c r="C65" s="23" t="n">
        <f aca="false">C60+C61+C62+C63+C64</f>
        <v>719.732712683155</v>
      </c>
      <c r="D65" s="8" t="s">
        <v>374</v>
      </c>
    </row>
    <row r="66" customFormat="false" ht="30" hidden="false" customHeight="true" outlineLevel="0" collapsed="false">
      <c r="B66" s="24" t="s">
        <v>375</v>
      </c>
      <c r="C66" s="25" t="n">
        <f aca="false">C59-C65</f>
        <v>1336.14964025802</v>
      </c>
    </row>
    <row r="67" customFormat="false" ht="30" hidden="false" customHeight="true" outlineLevel="0" collapsed="false">
      <c r="B67" s="24" t="s">
        <v>376</v>
      </c>
      <c r="C67" s="40" t="n">
        <f aca="false">IF('Cost Savings'!$C$59=0,0,'Cost Savings'!$C$66/'Cost Savings'!$C$59)</f>
        <v>0.649915418723501</v>
      </c>
    </row>
    <row r="68" customFormat="false" ht="30" hidden="false" customHeight="true" outlineLevel="0" collapsed="false">
      <c r="B68" s="24" t="s">
        <v>377</v>
      </c>
      <c r="C68" s="41" t="n">
        <f aca="false">'Cost Savings'!$C$63+'Cost Savings'!$C$64</f>
        <v>15.6444773890374</v>
      </c>
    </row>
    <row r="69" customFormat="false" ht="30" hidden="false" customHeight="true" outlineLevel="0" collapsed="false">
      <c r="B69" s="24" t="s">
        <v>29</v>
      </c>
      <c r="C69" s="42" t="n">
        <f aca="false">IF('Cost Savings'!$C$68=0,0,'Cost Savings'!$C$66/'Cost Savings'!$C$68)</f>
        <v>85.4071124928917</v>
      </c>
    </row>
    <row r="70" customFormat="false" ht="30" hidden="false" customHeight="true" outlineLevel="0" collapsed="false"/>
    <row r="71" customFormat="false" ht="30" hidden="false" customHeight="true" outlineLevel="0" collapsed="false">
      <c r="B71" s="4" t="s">
        <v>378</v>
      </c>
      <c r="C71" s="4"/>
      <c r="D71" s="4"/>
    </row>
    <row r="72" customFormat="false" ht="30" hidden="false" customHeight="true" outlineLevel="0" collapsed="false">
      <c r="B72" s="6" t="s">
        <v>379</v>
      </c>
      <c r="C72" s="9" t="n">
        <f aca="false">Inputs!$C$54</f>
        <v>39</v>
      </c>
      <c r="D72" s="8" t="s">
        <v>380</v>
      </c>
    </row>
    <row r="73" customFormat="false" ht="30" hidden="false" customHeight="true" outlineLevel="0" collapsed="false">
      <c r="B73" s="24" t="s">
        <v>381</v>
      </c>
      <c r="C73" s="25" t="n">
        <f aca="false">'Cost Savings'!$C$68+Inputs!$C$54</f>
        <v>54.6444773890374</v>
      </c>
    </row>
    <row r="74" customFormat="false" ht="30" hidden="false" customHeight="true" outlineLevel="0" collapsed="false">
      <c r="B74" s="24" t="s">
        <v>382</v>
      </c>
      <c r="C74" s="25" t="n">
        <f aca="false">'Cost Savings'!$C$66-Inputs!$C$54</f>
        <v>1297.14964025802</v>
      </c>
    </row>
    <row r="75" customFormat="false" ht="30" hidden="false" customHeight="true" outlineLevel="0" collapsed="false">
      <c r="B75" s="24" t="s">
        <v>383</v>
      </c>
      <c r="C75" s="43" t="n">
        <f aca="false">IF('Cost Savings'!$C$73=0,0,'Cost Savings'!$C$66/'Cost Savings'!$C$73)</f>
        <v>24.4516866863855</v>
      </c>
      <c r="D75" s="8" t="s">
        <v>384</v>
      </c>
    </row>
    <row r="76" customFormat="false" ht="30" hidden="false" customHeight="true" outlineLevel="0" collapsed="false"/>
    <row r="77" customFormat="false" ht="30" hidden="false" customHeight="true" outlineLevel="0" collapsed="false">
      <c r="B77" s="4" t="s">
        <v>385</v>
      </c>
      <c r="C77" s="4"/>
      <c r="D77" s="4"/>
    </row>
    <row r="78" customFormat="false" ht="30" hidden="false" customHeight="true" outlineLevel="0" collapsed="false">
      <c r="B78" s="5" t="s">
        <v>272</v>
      </c>
      <c r="C78" s="5" t="s">
        <v>273</v>
      </c>
      <c r="D78" s="5" t="s">
        <v>298</v>
      </c>
    </row>
    <row r="79" customFormat="false" ht="30" hidden="false" customHeight="true" outlineLevel="0" collapsed="false">
      <c r="B79" s="6" t="s">
        <v>386</v>
      </c>
      <c r="C79" s="28" t="n">
        <f aca="false">9000+14200+80*Inputs!$C$57</f>
        <v>28000</v>
      </c>
      <c r="D79" s="8" t="s">
        <v>387</v>
      </c>
    </row>
    <row r="80" customFormat="false" ht="30" hidden="false" customHeight="true" outlineLevel="0" collapsed="false">
      <c r="B80" s="6" t="s">
        <v>388</v>
      </c>
      <c r="C80" s="36" t="n">
        <v>1</v>
      </c>
      <c r="D80" s="8" t="s">
        <v>389</v>
      </c>
    </row>
    <row r="81" customFormat="false" ht="30" hidden="false" customHeight="true" outlineLevel="0" collapsed="false">
      <c r="B81" s="6" t="s">
        <v>390</v>
      </c>
      <c r="C81" s="17" t="n">
        <v>0.75</v>
      </c>
      <c r="D81" s="8" t="s">
        <v>391</v>
      </c>
    </row>
    <row r="82" customFormat="false" ht="30" hidden="false" customHeight="true" outlineLevel="0" collapsed="false">
      <c r="B82" s="6" t="s">
        <v>392</v>
      </c>
      <c r="C82" s="23" t="n">
        <f aca="false">C79*C80*C81/12</f>
        <v>1750</v>
      </c>
      <c r="D82" s="8"/>
    </row>
    <row r="83" customFormat="false" ht="30" hidden="false" customHeight="true" outlineLevel="0" collapsed="false">
      <c r="B83" s="6" t="s">
        <v>393</v>
      </c>
      <c r="C83" s="36" t="n">
        <v>1</v>
      </c>
      <c r="D83" s="8" t="s">
        <v>394</v>
      </c>
    </row>
    <row r="84" customFormat="false" ht="30" hidden="false" customHeight="true" outlineLevel="0" collapsed="false">
      <c r="B84" s="6" t="s">
        <v>395</v>
      </c>
      <c r="C84" s="27" t="n">
        <v>55000</v>
      </c>
      <c r="D84" s="8" t="s">
        <v>396</v>
      </c>
    </row>
    <row r="85" customFormat="false" ht="30" hidden="false" customHeight="true" outlineLevel="0" collapsed="false">
      <c r="B85" s="6" t="s">
        <v>397</v>
      </c>
      <c r="C85" s="17" t="n">
        <v>0.3</v>
      </c>
      <c r="D85" s="8" t="s">
        <v>398</v>
      </c>
    </row>
    <row r="86" customFormat="false" ht="30" hidden="false" customHeight="true" outlineLevel="0" collapsed="false">
      <c r="B86" s="6" t="s">
        <v>399</v>
      </c>
      <c r="C86" s="17" t="n">
        <v>0.5</v>
      </c>
      <c r="D86" s="8" t="s">
        <v>398</v>
      </c>
    </row>
    <row r="87" customFormat="false" ht="30" hidden="false" customHeight="true" outlineLevel="0" collapsed="false">
      <c r="B87" s="6" t="s">
        <v>400</v>
      </c>
      <c r="C87" s="23" t="n">
        <f aca="false">C83*C84*C85*C86/12</f>
        <v>687.5</v>
      </c>
      <c r="D87" s="8"/>
    </row>
    <row r="88" customFormat="false" ht="30" hidden="false" customHeight="true" outlineLevel="0" collapsed="false">
      <c r="B88" s="24" t="s">
        <v>401</v>
      </c>
      <c r="C88" s="25" t="n">
        <f aca="false">C82+C87</f>
        <v>2437.5</v>
      </c>
    </row>
    <row r="89" customFormat="false" ht="30" hidden="false" customHeight="true" outlineLevel="0" collapsed="false">
      <c r="B89" s="24" t="s">
        <v>402</v>
      </c>
      <c r="C89" s="25" t="n">
        <f aca="false">'Cost Savings'!$C$66+'Cost Savings'!$C$88</f>
        <v>3773.64964025802</v>
      </c>
      <c r="D89" s="8" t="s">
        <v>403</v>
      </c>
    </row>
    <row r="90" customFormat="false" ht="30" hidden="false" customHeight="true" outlineLevel="0" collapsed="false"/>
    <row r="91" customFormat="false" ht="30" hidden="false" customHeight="true" outlineLevel="0" collapsed="false">
      <c r="B91" s="4" t="s">
        <v>404</v>
      </c>
      <c r="C91" s="4"/>
      <c r="D91" s="4"/>
    </row>
    <row r="92" customFormat="false" ht="30" hidden="false" customHeight="true" outlineLevel="0" collapsed="false">
      <c r="B92" s="5" t="s">
        <v>272</v>
      </c>
      <c r="C92" s="5" t="s">
        <v>273</v>
      </c>
      <c r="D92" s="5" t="s">
        <v>298</v>
      </c>
    </row>
    <row r="93" customFormat="false" ht="30" hidden="false" customHeight="true" outlineLevel="0" collapsed="false">
      <c r="B93" s="6" t="s">
        <v>405</v>
      </c>
      <c r="C93" s="9" t="n">
        <f aca="false">Inference!$M$49</f>
        <v>0.63394725</v>
      </c>
      <c r="D93" s="8" t="s">
        <v>406</v>
      </c>
    </row>
    <row r="94" customFormat="false" ht="30" hidden="false" customHeight="true" outlineLevel="0" collapsed="false">
      <c r="B94" s="6" t="s">
        <v>407</v>
      </c>
      <c r="C94" s="7" t="n">
        <f aca="false">Embeddings!$C$13</f>
        <v>0.00249195</v>
      </c>
      <c r="D94" s="8" t="s">
        <v>372</v>
      </c>
    </row>
    <row r="95" customFormat="false" ht="30" hidden="false" customHeight="true" outlineLevel="0" collapsed="false">
      <c r="B95" s="6" t="s">
        <v>408</v>
      </c>
      <c r="C95" s="19" t="n">
        <f aca="false">57/60+0.5</f>
        <v>1.45</v>
      </c>
      <c r="D95" s="8" t="s">
        <v>409</v>
      </c>
    </row>
    <row r="96" customFormat="false" ht="30" hidden="false" customHeight="true" outlineLevel="0" collapsed="false">
      <c r="B96" s="6" t="s">
        <v>410</v>
      </c>
      <c r="C96" s="23" t="n">
        <f aca="false">C95*Inputs!$C$57</f>
        <v>87</v>
      </c>
      <c r="D96" s="8"/>
    </row>
    <row r="97" customFormat="false" ht="30" hidden="false" customHeight="true" outlineLevel="0" collapsed="false">
      <c r="B97" s="6" t="s">
        <v>411</v>
      </c>
      <c r="C97" s="21" t="n">
        <v>0</v>
      </c>
      <c r="D97" s="8" t="s">
        <v>412</v>
      </c>
    </row>
    <row r="98" customFormat="false" ht="30" hidden="false" customHeight="true" outlineLevel="0" collapsed="false">
      <c r="B98" s="24" t="s">
        <v>413</v>
      </c>
      <c r="C98" s="25" t="n">
        <f aca="false">C93+C94+C96+C97</f>
        <v>87.6364392</v>
      </c>
    </row>
    <row r="99" customFormat="false" ht="30" hidden="false" customHeight="true" outlineLevel="0" collapsed="false">
      <c r="B99" s="24" t="s">
        <v>414</v>
      </c>
      <c r="C99" s="44" t="n">
        <f aca="false">IF('Cost Savings'!$C$66&lt;=0,"n/a",'Cost Savings'!$C$98/'Cost Savings'!$C$66)</f>
        <v>0.0655887907757672</v>
      </c>
    </row>
  </sheetData>
  <mergeCells count="9">
    <mergeCell ref="B5:D5"/>
    <mergeCell ref="B18:D18"/>
    <mergeCell ref="B27:D27"/>
    <mergeCell ref="B34:D34"/>
    <mergeCell ref="B44:D44"/>
    <mergeCell ref="B54:D54"/>
    <mergeCell ref="B71:D71"/>
    <mergeCell ref="B77:D77"/>
    <mergeCell ref="B91:D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110"/>
  </cols>
  <sheetData>
    <row r="2" customFormat="false" ht="19.5" hidden="false" customHeight="true" outlineLevel="0" collapsed="false">
      <c r="B2" s="2" t="s">
        <v>415</v>
      </c>
    </row>
    <row r="4" customFormat="false" ht="61.5" hidden="false" customHeight="true" outlineLevel="0" collapsed="false">
      <c r="B4" s="45" t="s">
        <v>416</v>
      </c>
      <c r="C4" s="8" t="s">
        <v>417</v>
      </c>
    </row>
    <row r="5" customFormat="false" ht="61.5" hidden="false" customHeight="true" outlineLevel="0" collapsed="false">
      <c r="B5" s="45" t="s">
        <v>418</v>
      </c>
      <c r="C5" s="8" t="s">
        <v>419</v>
      </c>
    </row>
    <row r="6" customFormat="false" ht="61.5" hidden="false" customHeight="true" outlineLevel="0" collapsed="false">
      <c r="B6" s="45" t="s">
        <v>420</v>
      </c>
      <c r="C6" s="8" t="s">
        <v>421</v>
      </c>
    </row>
    <row r="7" customFormat="false" ht="61.5" hidden="false" customHeight="true" outlineLevel="0" collapsed="false">
      <c r="B7" s="45" t="s">
        <v>422</v>
      </c>
      <c r="C7" s="8" t="s">
        <v>423</v>
      </c>
    </row>
    <row r="8" customFormat="false" ht="61.5" hidden="false" customHeight="true" outlineLevel="0" collapsed="false">
      <c r="B8" s="45" t="s">
        <v>424</v>
      </c>
      <c r="C8" s="8" t="s">
        <v>425</v>
      </c>
    </row>
    <row r="9" customFormat="false" ht="61.5" hidden="false" customHeight="true" outlineLevel="0" collapsed="false">
      <c r="B9" s="45" t="s">
        <v>426</v>
      </c>
      <c r="C9" s="8" t="s">
        <v>427</v>
      </c>
    </row>
    <row r="10" customFormat="false" ht="61.5" hidden="false" customHeight="true" outlineLevel="0" collapsed="false">
      <c r="B10" s="45" t="s">
        <v>428</v>
      </c>
      <c r="C10" s="8" t="s">
        <v>429</v>
      </c>
    </row>
    <row r="11" customFormat="false" ht="61.5" hidden="false" customHeight="true" outlineLevel="0" collapsed="false">
      <c r="B11" s="45" t="s">
        <v>430</v>
      </c>
      <c r="C11" s="8" t="s">
        <v>431</v>
      </c>
    </row>
    <row r="12" customFormat="false" ht="61.5" hidden="false" customHeight="true" outlineLevel="0" collapsed="false">
      <c r="B12" s="45" t="s">
        <v>432</v>
      </c>
      <c r="C12" s="8" t="s">
        <v>433</v>
      </c>
    </row>
    <row r="13" customFormat="false" ht="61.5" hidden="false" customHeight="true" outlineLevel="0" collapsed="false">
      <c r="B13" s="45" t="s">
        <v>434</v>
      </c>
      <c r="C13" s="8" t="s">
        <v>435</v>
      </c>
    </row>
    <row r="14" customFormat="false" ht="61.5" hidden="false" customHeight="true" outlineLevel="0" collapsed="false">
      <c r="B14" s="45" t="s">
        <v>436</v>
      </c>
      <c r="C14" s="8" t="s">
        <v>437</v>
      </c>
    </row>
    <row r="15" customFormat="false" ht="61.5" hidden="false" customHeight="true" outlineLevel="0" collapsed="false">
      <c r="B15" s="45" t="s">
        <v>438</v>
      </c>
      <c r="C15" s="8" t="s">
        <v>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2026-10-14T01:51:49Z</dcterms:created>
  <dc:creator>openpyxl</dc:creator>
  <dc:description/>
  <dc:language>en-US</dc:language>
  <cp:lastModifiedBy/>
  <dcterms:modified xsi:type="dcterms:W3CDTF">2026-10-14T15:56:11Z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